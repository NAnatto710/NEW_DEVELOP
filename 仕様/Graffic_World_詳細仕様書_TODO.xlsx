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4c07466c7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6476657176fe4cd4"/>
    <x:sheet xmlns:r="http://schemas.openxmlformats.org/officeDocument/2006/relationships" name="詳細仕様" sheetId="2" r:id="Rf42620f7ca8c48c2"/>
    <x:sheet xmlns:r="http://schemas.openxmlformats.org/officeDocument/2006/relationships" name="TODO" sheetId="3" r:id="Ra3452422765a4473"/>
    <x:sheet xmlns:r="http://schemas.openxmlformats.org/officeDocument/2006/relationships" name="未決定・検証" sheetId="4" r:id="Rf13b826f716f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3"/>
      <x:name val="Carlito"/>
    </x:font>
    <x:font>
      <x:b/>
      <x:sz val="18"/>
      <x:color rgb="FFFFFFFF"/>
      <x:name val="Meiryo"/>
    </x:font>
    <x:font>
      <x:sz val="11"/>
      <x:name val="Meiryo"/>
    </x:font>
    <x:font>
      <x:b/>
      <x:sz val="11"/>
      <x:color rgb="FFFFFFFF"/>
      <x:name val="Meiryo"/>
    </x:font>
    <x:font>
      <x:b/>
      <x:sz val="13"/>
      <x:name val="Meiryo"/>
    </x:font>
    <x:font>
      <x:b/>
      <x:sz val="15"/>
      <x:color rgb="FFFFFFFF"/>
      <x:name val="Carlito"/>
    </x:font>
    <x:font>
      <x:b/>
      <x:sz val="14"/>
      <x:name val="Carlito"/>
    </x:font>
    <x:font>
      <x:b/>
      <x:sz val="10"/>
      <x:color rgb="FFFFFFFF"/>
      <x:name val="Meiryo"/>
    </x:font>
    <x:font>
      <x:sz val="10"/>
      <x:name val="Meiryo"/>
    </x:font>
    <x:font>
      <x:b/>
      <x:sz val="10"/>
      <x:name val="Meiryo"/>
    </x:font>
    <x:font>
      <x:b/>
      <x:sz val="15"/>
      <x:color rgb="FFFFFFFF"/>
      <x:name val="Meiryo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4472C4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left" vertical="center"/>
    </x:xf>
    <x:xf numFmtId="0" fontId="7" fillId="4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left" vertical="center"/>
    </x:xf>
    <x:xf numFmtId="0" fontId="7" fillId="4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2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horizontal="left" vertical="center"/>
    </x:xf>
    <x:xf numFmtId="0" fontId="12" fillId="4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/>
    </x:xf>
    <x:xf numFmtId="0" fontId="12" fillId="4" borderId="1" xfId="0" applyNumberFormat="1" applyFont="1" applyFill="1" applyBorder="1" applyAlignment="1">
      <x:alignment horizontal="left" vertical="center"/>
    </x:xf>
    <x:xf numFmtId="0" fontId="12" fillId="4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/>
    </x:xf>
    <x:xf numFmtId="0" fontId="12" fillId="4" borderId="1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13" fillId="2" borderId="1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AF2F8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C00000"/>
      </x:font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ead1789104f8b" /><Relationship Type="http://schemas.openxmlformats.org/officeDocument/2006/relationships/theme" Target="/xl/theme/theme1.xml" Id="R47d5a9cc3fd74ec9" /><Relationship Type="http://schemas.openxmlformats.org/officeDocument/2006/relationships/sharedStrings" Target="/xl/sharedStrings.xml" Id="R21b33faab8604a1d" /><Relationship Type="http://schemas.openxmlformats.org/officeDocument/2006/relationships/worksheet" Target="/xl/worksheets/sheet1.xml" Id="R6476657176fe4cd4" /><Relationship Type="http://schemas.openxmlformats.org/officeDocument/2006/relationships/worksheet" Target="/xl/worksheets/sheet2.xml" Id="Rf42620f7ca8c48c2" /><Relationship Type="http://schemas.openxmlformats.org/officeDocument/2006/relationships/worksheet" Target="/xl/worksheets/sheet3.xml" Id="Ra3452422765a4473" /><Relationship Type="http://schemas.openxmlformats.org/officeDocument/2006/relationships/worksheet" Target="/xl/worksheets/sheet4.xml" Id="Rf13b826f716f4641" /></Relationships>
</file>

<file path=xl/tables/table1.xml><?xml version="1.0" encoding="utf-8"?>
<x:table xmlns:x="http://schemas.openxmlformats.org/spreadsheetml/2006/main" id="1" name="SpecificationTable" displayName="SpecificationTable" ref="A1:I81" headerRowCount="1" totalsRowCount="0" totalsRowShown="0">
  <x:tableColumns count="9">
    <x:tableColumn id="1" name="ID"/>
    <x:tableColumn id="2" name="大分類"/>
    <x:tableColumn id="3" name="中分類"/>
    <x:tableColumn id="4" name="状態"/>
    <x:tableColumn id="5" name="仕様項目"/>
    <x:tableColumn id="6" name="詳細仕様"/>
    <x:tableColumn id="7" name="実装・設計メモ"/>
    <x:tableColumn id="8" name="確認・テスト観点"/>
    <x:tableColumn id="9" name="参照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doTable" displayName="TodoTable" ref="A1:J78" headerRowCount="1" totalsRowCount="0" totalsRowShown="0">
  <x:tableColumns count="10">
    <x:tableColumn id="1" name="TODO ID"/>
    <x:tableColumn id="2" name="Phase"/>
    <x:tableColumn id="3" name="カテゴリ"/>
    <x:tableColumn id="4" name="優先度"/>
    <x:tableColumn id="5" name="状態"/>
    <x:tableColumn id="6" name="タスク"/>
    <x:tableColumn id="7" name="実装内容"/>
    <x:tableColumn id="8" name="依存"/>
    <x:tableColumn id="9" name="完了条件"/>
    <x:tableColumn id="10" name="備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decidedTable" displayName="UndecidedTable" ref="A3:H44" headerRowCount="1" totalsRowCount="0" totalsRowShown="0">
  <x:tableColumns count="8">
    <x:tableColumn id="1" name="ID"/>
    <x:tableColumn id="2" name="カテゴリ"/>
    <x:tableColumn id="3" name="未決定項目"/>
    <x:tableColumn id="4" name="影響するシステム"/>
    <x:tableColumn id="5" name="決定タイミング"/>
    <x:tableColumn id="6" name="判断・検証方法"/>
    <x:tableColumn id="7" name="状態"/>
    <x:tableColumn id="8" name="参照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ificationTable" displayName="VerificationTable" ref="A49:F55" headerRowCount="1" totalsRowCount="0" totalsRowShown="0">
  <x:tableColumns count="6">
    <x:tableColumn id="1" name="検証ID"/>
    <x:tableColumn id="2" name="検証テーマ"/>
    <x:tableColumn id="3" name="目的"/>
    <x:tableColumn id="4" name="手順"/>
    <x:tableColumn id="5" name="合格基準"/>
    <x:tableColumn id="6" name="対応TO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3428cabb5e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f72f71ba2841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71d35de9524a8b" /><Relationship Type="http://schemas.openxmlformats.org/officeDocument/2006/relationships/table" Target="/xl/tables/table4.xml" Id="R22f865d699a54ec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4" hidden="0" customWidth="1"/>
    <x:col min="4" max="4" width="18" hidden="0" customWidth="1"/>
    <x:col min="5" max="5" width="12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39" t="str">
        <x:v>Graffic World リメイク 詳細仕様書 / TODO</x:v>
      </x:c>
      <x:c r="B1" s="39"/>
      <x:c r="C1" s="39"/>
      <x:c r="D1" s="39"/>
      <x:c r="E1" s="39"/>
      <x:c r="F1" s="39"/>
      <x:c r="G1" s="39"/>
      <x:c r="H1" s="39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61"/>
      <x:c r="B2" s="61"/>
      <x:c r="C2" s="61"/>
      <x:c r="D2" s="61"/>
      <x:c r="E2" s="61"/>
      <x:c r="F2" s="61"/>
      <x:c r="G2" s="61"/>
      <x:c r="H2" s="61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62" t="str">
        <x:v>項目</x:v>
      </x:c>
      <x:c r="B3" s="62" t="str">
        <x:v>内容</x:v>
      </x:c>
      <x:c r="C3" s="61"/>
      <x:c r="D3" s="62" t="str">
        <x:v>仕様ステータス</x:v>
      </x:c>
      <x:c r="E3" s="62" t="str">
        <x:v>件数</x:v>
      </x:c>
      <x:c r="F3" s="61"/>
      <x:c r="G3" s="62" t="str">
        <x:v>TODO進捗</x:v>
      </x:c>
      <x:c r="H3" s="62" t="str">
        <x:v>件数/率</x:v>
      </x:c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63" t="str">
        <x:v>正式タイトル</x:v>
      </x:c>
      <x:c r="B4" s="63" t="str">
        <x:v>Graffic World</x:v>
      </x:c>
      <x:c r="C4" s="61"/>
      <x:c r="D4" s="61" t="str">
        <x:v>決定済み</x:v>
      </x:c>
      <x:c r="E4" s="61" t="n">
        <x:f>COUNTIF('詳細仕様'!D:D,"決定済み")</x:f>
        <x:v>53</x:v>
      </x:c>
      <x:c r="F4" s="61"/>
      <x:c r="G4" s="61" t="str">
        <x:v>未着手</x:v>
      </x:c>
      <x:c r="H4" s="61" t="n">
        <x:f>COUNTIF(TODO!E:E,"未着手")</x:f>
        <x:v>77</x:v>
      </x:c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3" t="str">
        <x:v>ジャンル</x:v>
      </x:c>
      <x:c r="B5" s="63" t="str">
        <x:v>2Dアクション × 文房具によるルート構築</x:v>
      </x:c>
      <x:c r="C5" s="61"/>
      <x:c r="D5" s="61" t="str">
        <x:v>仮決定</x:v>
      </x:c>
      <x:c r="E5" s="61" t="n">
        <x:f>COUNTIF('詳細仕様'!D:D,"仮決定")</x:f>
        <x:v>7</x:v>
      </x:c>
      <x:c r="F5" s="61"/>
      <x:c r="G5" s="61" t="str">
        <x:v>進行中</x:v>
      </x:c>
      <x:c r="H5" s="61" t="n">
        <x:f>COUNTIF(TODO!E:E,"進行中")</x:f>
        <x:v>0</x:v>
      </x:c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3" t="str">
        <x:v>コア体験</x:v>
      </x:c>
      <x:c r="B6" s="63" t="str">
        <x:v>考える → 道を作る → 試す → 気持ちよく突破する</x:v>
      </x:c>
      <x:c r="C6" s="61"/>
      <x:c r="D6" s="61" t="str">
        <x:v>方向性決定</x:v>
      </x:c>
      <x:c r="E6" s="61" t="n">
        <x:f>COUNTIF('詳細仕様'!D:D,"方向性決定")</x:f>
        <x:v>13</x:v>
      </x:c>
      <x:c r="F6" s="61"/>
      <x:c r="G6" s="61" t="str">
        <x:v>確認待ち</x:v>
      </x:c>
      <x:c r="H6" s="61" t="n">
        <x:f>COUNTIF(TODO!E:E,"確認待ち")</x:f>
        <x:v>0</x:v>
      </x:c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3" t="str">
        <x:v>技術構成</x:v>
      </x:c>
      <x:c r="B7" s="63" t="str">
        <x:v>C++ / Visual Studio / vivid2D Library 2.9 / DX Library / Effekseer</x:v>
      </x:c>
      <x:c r="C7" s="61"/>
      <x:c r="D7" s="61" t="str">
        <x:v>未決定</x:v>
      </x:c>
      <x:c r="E7" s="61" t="n">
        <x:f>COUNTIF('詳細仕様'!D:D,"未決定")</x:f>
        <x:v>7</x:v>
      </x:c>
      <x:c r="F7" s="61"/>
      <x:c r="G7" s="61" t="str">
        <x:v>完了</x:v>
      </x:c>
      <x:c r="H7" s="61" t="n">
        <x:f>COUNTIF(TODO!E:E,"完了")</x:f>
        <x:v>0</x:v>
      </x:c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3" t="str">
        <x:v>資料方針</x:v>
      </x:c>
      <x:c r="B8" s="63" t="str">
        <x:v>決定済み・仮決定・未決定を分離。未決定は勝手に確定しない。</x:v>
      </x:c>
      <x:c r="C8" s="61"/>
      <x:c r="D8" s="61" t="str">
        <x:v>仕様合計</x:v>
      </x:c>
      <x:c r="E8" s="61" t="n">
        <x:f>COUNTA('詳細仕様'!A:A)-1</x:f>
        <x:v>80</x:v>
      </x:c>
      <x:c r="F8" s="61"/>
      <x:c r="G8" s="61" t="str">
        <x:v>保留</x:v>
      </x:c>
      <x:c r="H8" s="61" t="n">
        <x:f>COUNTIF(TODO!E:E,"保留")</x:f>
        <x:v>0</x:v>
      </x:c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1"/>
      <x:c r="B9" s="61"/>
      <x:c r="C9" s="61"/>
      <x:c r="D9" s="61"/>
      <x:c r="E9" s="61"/>
      <x:c r="F9" s="61"/>
      <x:c r="G9" s="61" t="str">
        <x:v>完了率</x:v>
      </x:c>
      <x:c r="H9" s="64" t="n">
        <x:f>IFERROR(H7/(COUNTA(TODO!A:A)-1),0)</x:f>
        <x:v>0</x:v>
      </x:c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5" t="str">
        <x:v>実装の最重要方針</x:v>
      </x:c>
      <x:c r="B11" s="65"/>
      <x:c r="C11" s="65"/>
      <x:c r="D11" s="65"/>
      <x:c r="E11" s="65"/>
      <x:c r="F11" s="65"/>
      <x:c r="G11" s="65"/>
      <x:c r="H11" s="65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3" t="str">
        <x:v>1</x:v>
      </x:c>
      <x:c r="B12" s="63" t="str">
        <x:v>まず定規1種類で、自由回転した足場の上を自然に歩けるところまで作る。</x:v>
      </x:c>
      <x:c r="C12" s="63" t="str"/>
      <x:c r="D12" s="63" t="str"/>
      <x:c r="E12" s="63" t="str"/>
      <x:c r="F12" s="63" t="str"/>
      <x:c r="G12" s="63" t="str"/>
      <x:c r="H12" s="63" t="str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3" t="str">
        <x:v>2</x:v>
      </x:c>
      <x:c r="B13" s="63" t="str">
        <x:v>物理はリアルさより、当たり判定の安定・再現性・遊びやすさを優先する。</x:v>
      </x:c>
      <x:c r="C13" s="63" t="str"/>
      <x:c r="D13" s="63" t="str"/>
      <x:c r="E13" s="63" t="str"/>
      <x:c r="F13" s="63" t="str"/>
      <x:c r="G13" s="63" t="str"/>
      <x:c r="H13" s="63" t="str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3" t="str">
        <x:v>3</x:v>
      </x:c>
      <x:c r="B14" s="63" t="str">
        <x:v>文房具は『自由に置けるが、物理法則からは自由ではない』を基本にする。</x:v>
      </x:c>
      <x:c r="C14" s="63" t="str"/>
      <x:c r="D14" s="63" t="str"/>
      <x:c r="E14" s="63" t="str"/>
      <x:c r="F14" s="63" t="str"/>
      <x:c r="G14" s="63" t="str"/>
      <x:c r="H14" s="63" t="str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3" t="str">
        <x:v>4</x:v>
      </x:c>
      <x:c r="B15" s="63" t="str">
        <x:v>Player接触後はUSED化して再操作不可。ただし物理挙動は継続する。</x:v>
      </x:c>
      <x:c r="C15" s="63" t="str"/>
      <x:c r="D15" s="63" t="str"/>
      <x:c r="E15" s="63" t="str"/>
      <x:c r="F15" s="63" t="str"/>
      <x:c r="G15" s="63" t="str"/>
      <x:c r="H15" s="63" t="str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3" t="str">
        <x:v>5</x:v>
      </x:c>
      <x:c r="B16" s="63" t="str">
        <x:v>チェックポイントは位置だけでなくステージ状態のSnapshot。残機は巻き戻さない。</x:v>
      </x:c>
      <x:c r="C16" s="63" t="str"/>
      <x:c r="D16" s="63" t="str"/>
      <x:c r="E16" s="63" t="str"/>
      <x:c r="F16" s="63" t="str"/>
      <x:c r="G16" s="63" t="str"/>
      <x:c r="H16" s="63" t="str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6" t="str">
        <x:v>シートの使い方</x:v>
      </x:c>
      <x:c r="B18" s="66"/>
      <x:c r="C18" s="66"/>
      <x:c r="D18" s="66"/>
      <x:c r="E18" s="66"/>
      <x:c r="F18" s="66"/>
      <x:c r="G18" s="66"/>
      <x:c r="H18" s="66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3" t="str">
        <x:v>詳細仕様</x:v>
      </x:c>
      <x:c r="B19" s="63" t="str">
        <x:v>システムごとの仕様。状態列で「決定済み / 仮決定 / 方向性決定 / 未決定」を確認する。</x:v>
      </x:c>
      <x:c r="C19" s="63" t="str"/>
      <x:c r="D19" s="63" t="str"/>
      <x:c r="E19" s="63" t="str"/>
      <x:c r="F19" s="63" t="str"/>
      <x:c r="G19" s="63" t="str"/>
      <x:c r="H19" s="63" t="str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3" t="str">
        <x:v>TODO</x:v>
      </x:c>
      <x:c r="B20" s="63" t="str">
        <x:v>Phase順の実装リスト。状態列を更新すると概要の進捗が自動更新される。</x:v>
      </x:c>
      <x:c r="C20" s="63" t="str"/>
      <x:c r="D20" s="63" t="str"/>
      <x:c r="E20" s="63" t="str"/>
      <x:c r="F20" s="63" t="str"/>
      <x:c r="G20" s="63" t="str"/>
      <x:c r="H20" s="63" t="str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3" t="str">
        <x:v>未決定・検証</x:v>
      </x:c>
      <x:c r="B21" s="63" t="str">
        <x:v>確定させてはいけない項目と、先に通すべき技術検証をまとめる。</x:v>
      </x:c>
      <x:c r="C21" s="63" t="str"/>
      <x:c r="D21" s="63" t="str"/>
      <x:c r="E21" s="63" t="str"/>
      <x:c r="F21" s="63" t="str"/>
      <x:c r="G21" s="63" t="str"/>
      <x:c r="H21" s="63" t="str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3" t="str">
        <x:v>備考</x:v>
      </x:c>
      <x:c r="B22" s="63" t="str">
        <x:v>TODOの作業内容・判断方法は実装計画用に整理したもの。未決定値そのものは確定していない。</x:v>
      </x:c>
      <x:c r="C22" s="63" t="str"/>
      <x:c r="D22" s="63" t="str"/>
      <x:c r="E22" s="63" t="str"/>
      <x:c r="F22" s="63" t="str"/>
      <x:c r="G22" s="63" t="str"/>
      <x:c r="H22" s="63" t="str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0"/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0"/>
      <x:c r="B29" s="60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0"/>
      <x:c r="B30" s="60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0"/>
      <x:c r="B31" s="60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0"/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0"/>
      <x:c r="B41" s="60"/>
      <x:c r="C41" s="60"/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0"/>
      <x:c r="B42" s="60"/>
      <x:c r="C42" s="60"/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0"/>
      <x:c r="B43" s="60"/>
      <x:c r="C43" s="60"/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0"/>
      <x:c r="B44" s="60"/>
      <x:c r="C44" s="60"/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60"/>
      <x:c r="B49" s="60"/>
      <x:c r="C49" s="60"/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60"/>
      <x:c r="B50" s="60"/>
      <x:c r="C50" s="60"/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60"/>
      <x:c r="B51" s="60"/>
      <x:c r="C51" s="60"/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60"/>
      <x:c r="B52" s="60"/>
      <x:c r="C52" s="60"/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60"/>
      <x:c r="B53" s="60"/>
      <x:c r="C53" s="60"/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60"/>
      <x:c r="B54" s="60"/>
      <x:c r="C54" s="60"/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60"/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A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6" hidden="0" customWidth="1"/>
    <x:col min="4" max="4" width="12" hidden="0" customWidth="1"/>
    <x:col min="5" max="5" width="22" hidden="0" customWidth="1"/>
    <x:col min="6" max="6" width="52" hidden="0" customWidth="1"/>
    <x:col min="7" max="7" width="44" hidden="0" customWidth="1"/>
    <x:col min="8" max="8" width="42" hidden="0" customWidth="1"/>
    <x:col min="9" max="9" width="12" hidden="0" customWidth="1"/>
  </x:cols>
  <x:sheetData>
    <x:row r="1">
      <x:c r="A1" s="62" t="str">
        <x:v>ID</x:v>
      </x:c>
      <x:c r="B1" s="62" t="str">
        <x:v>大分類</x:v>
      </x:c>
      <x:c r="C1" s="62" t="str">
        <x:v>中分類</x:v>
      </x:c>
      <x:c r="D1" s="62" t="str">
        <x:v>状態</x:v>
      </x:c>
      <x:c r="E1" s="62" t="str">
        <x:v>仕様項目</x:v>
      </x:c>
      <x:c r="F1" s="62" t="str">
        <x:v>詳細仕様</x:v>
      </x:c>
      <x:c r="G1" s="62" t="str">
        <x:v>実装・設計メモ</x:v>
      </x:c>
      <x:c r="H1" s="62" t="str">
        <x:v>確認・テスト観点</x:v>
      </x:c>
      <x:c r="I1" s="62" t="str">
        <x:v>参照章</x:v>
      </x:c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85" t="str">
        <x:v>S001</x:v>
      </x:c>
      <x:c r="B2" s="63" t="str">
        <x:v>プロジェクト</x:v>
      </x:c>
      <x:c r="C2" s="63" t="str">
        <x:v>基本情報</x:v>
      </x:c>
      <x:c r="D2" s="85" t="str">
        <x:v>決定済み</x:v>
      </x:c>
      <x:c r="E2" s="63" t="str">
        <x:v>正式タイトル</x:v>
      </x:c>
      <x:c r="F2" s="75" t="str">
        <x:v>Graffic World。Graphic Worldではない。</x:v>
      </x:c>
      <x:c r="G2" s="75" t="str">
        <x:v>画面・ファイル・資料で表記を統一する。</x:v>
      </x:c>
      <x:c r="H2" s="75" t="str">
        <x:v>タイトル表記がすべてGraffic Worldになっている。</x:v>
      </x:c>
      <x:c r="I2" s="75" t="str">
        <x:v>1.1</x:v>
      </x:c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85" t="str">
        <x:v>S002</x:v>
      </x:c>
      <x:c r="B3" s="63" t="str">
        <x:v>プロジェクト</x:v>
      </x:c>
      <x:c r="C3" s="63" t="str">
        <x:v>ジャンル</x:v>
      </x:c>
      <x:c r="D3" s="85" t="str">
        <x:v>決定済み</x:v>
      </x:c>
      <x:c r="E3" s="63" t="str">
        <x:v>ジャンル</x:v>
      </x:c>
      <x:c r="F3" s="75" t="str">
        <x:v>2Dアクション × 文房具によるルート構築。</x:v>
      </x:c>
      <x:c r="G3" s="75" t="str">
        <x:v>アクション単体ではなく、ルート構築を主要システムとして扱う。</x:v>
      </x:c>
      <x:c r="H3" s="75" t="str">
        <x:v>文房具を使わないと越えにくい障害が成立する。</x:v>
      </x:c>
      <x:c r="I3" s="75" t="str">
        <x:v>1.2</x:v>
      </x:c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85" t="str">
        <x:v>S003</x:v>
      </x:c>
      <x:c r="B4" s="63" t="str">
        <x:v>プロジェクト</x:v>
      </x:c>
      <x:c r="C4" s="63" t="str">
        <x:v>世界観</x:v>
      </x:c>
      <x:c r="D4" s="85" t="str">
        <x:v>決定済み</x:v>
      </x:c>
      <x:c r="E4" s="63" t="str">
        <x:v>舞台</x:v>
      </x:c>
      <x:c r="F4" s="75" t="str">
        <x:v>ノートの中の世界。学生がノート上に想像したキャラクターを操作する。</x:v>
      </x:c>
      <x:c r="G4" s="75" t="str">
        <x:v>背景・地形・UIの視覚表現はノート世界と矛盾しない方向にする。</x:v>
      </x:c>
      <x:c r="H4" s="75" t="str">
        <x:v>プレイ画面からノート世界であることが判別できる。</x:v>
      </x:c>
      <x:c r="I4" s="75" t="str">
        <x:v>2</x:v>
      </x:c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85" t="str">
        <x:v>S004</x:v>
      </x:c>
      <x:c r="B5" s="63" t="str">
        <x:v>ゲーム体験</x:v>
      </x:c>
      <x:c r="C5" s="63" t="str">
        <x:v>基本方針</x:v>
      </x:c>
      <x:c r="D5" s="85" t="str">
        <x:v>決定済み</x:v>
      </x:c>
      <x:c r="E5" s="63" t="str">
        <x:v>リメイク方針</x:v>
      </x:c>
      <x:c r="F5" s="75" t="str">
        <x:v>前作の特徴を残しつつゲーム性を発展させる。</x:v>
      </x:c>
      <x:c r="G5" s="75" t="str">
        <x:v>前作コードはそのまま移植せず、現設計で再実装する。</x:v>
      </x:c>
      <x:c r="H5" s="75" t="str">
        <x:v>前作の3本柱を維持しつつ、新システムが動作する。</x:v>
      </x:c>
      <x:c r="I5" s="75" t="str">
        <x:v>3,37,38</x:v>
      </x:c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85" t="str">
        <x:v>S005</x:v>
      </x:c>
      <x:c r="B6" s="63" t="str">
        <x:v>ゲーム体験</x:v>
      </x:c>
      <x:c r="C6" s="63" t="str">
        <x:v>基本方針</x:v>
      </x:c>
      <x:c r="D6" s="85" t="str">
        <x:v>決定済み</x:v>
      </x:c>
      <x:c r="E6" s="63" t="str">
        <x:v>攻略思想</x:v>
      </x:c>
      <x:c r="F6" s="75" t="str">
        <x:v>文房具で『正解を探す』から『正解を作る』へ変更する。</x:v>
      </x:c>
      <x:c r="G6" s="75" t="str">
        <x:v>想定解1つに固定しないステージ設計を行う。</x:v>
      </x:c>
      <x:c r="H6" s="75" t="str">
        <x:v>同一障害で複数の突破方法が成立する。</x:v>
      </x:c>
      <x:c r="I6" s="75" t="str">
        <x:v>3</x:v>
      </x:c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85" t="str">
        <x:v>S006</x:v>
      </x:c>
      <x:c r="B7" s="63" t="str">
        <x:v>ゲーム体験</x:v>
      </x:c>
      <x:c r="C7" s="63" t="str">
        <x:v>コアサイクル</x:v>
      </x:c>
      <x:c r="D7" s="85" t="str">
        <x:v>決定済み</x:v>
      </x:c>
      <x:c r="E7" s="63" t="str">
        <x:v>基本プレイサイクル</x:v>
      </x:c>
      <x:c r="F7" s="75" t="str">
        <x:v>考える → 道を作る → 試す → 気持ちよく突破する。</x:v>
      </x:c>
      <x:c r="G7" s="75" t="str">
        <x:v>機能追加時はこの体験を強めるかを判断基準にする。</x:v>
      </x:c>
      <x:c r="H7" s="75" t="str">
        <x:v>構築→試行→突破が1区間内で成立する。</x:v>
      </x:c>
      <x:c r="I7" s="75" t="str">
        <x:v>5,48</x:v>
      </x:c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85" t="str">
        <x:v>S007</x:v>
      </x:c>
      <x:c r="B8" s="63" t="str">
        <x:v>ゲーム体験</x:v>
      </x:c>
      <x:c r="C8" s="63" t="str">
        <x:v>テンポ</x:v>
      </x:c>
      <x:c r="D8" s="85" t="str">
        <x:v>方向性決定</x:v>
      </x:c>
      <x:c r="E8" s="63" t="str">
        <x:v>障害の思考時間</x:v>
      </x:c>
      <x:c r="F8" s="75" t="str">
        <x:v>簡単:数秒、通常:10～20秒、難しい:複数回試行錯誤を想定。厳密な時間制限ではない。</x:v>
      </x:c>
      <x:c r="G8" s="75" t="str">
        <x:v>ステージ調整用の目安として扱う。</x:v>
      </x:c>
      <x:c r="H8" s="75" t="str">
        <x:v>通常障害で長時間停滞しすぎない。</x:v>
      </x:c>
      <x:c r="I8" s="75" t="str">
        <x:v>5</x:v>
      </x:c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85" t="str">
        <x:v>S008</x:v>
      </x:c>
      <x:c r="B9" s="63" t="str">
        <x:v>プレイヤー</x:v>
      </x:c>
      <x:c r="C9" s="63" t="str">
        <x:v>入力</x:v>
      </x:c>
      <x:c r="D9" s="85" t="str">
        <x:v>決定済み</x:v>
      </x:c>
      <x:c r="E9" s="63" t="str">
        <x:v>入力形態</x:v>
      </x:c>
      <x:c r="F9" s="75" t="str">
        <x:v>キーボード＋マウス。</x:v>
      </x:c>
      <x:c r="G9" s="75" t="str">
        <x:v>左手でキャラクター、右手で文房具を同時操作する思想。</x:v>
      </x:c>
      <x:c r="H9" s="75" t="str">
        <x:v>キーボード移動とマウス操作が同時に受け付けられる。</x:v>
      </x:c>
      <x:c r="I9" s="75" t="str">
        <x:v>6,7</x:v>
      </x:c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85" t="str">
        <x:v>S009</x:v>
      </x:c>
      <x:c r="B10" s="63" t="str">
        <x:v>プレイヤー</x:v>
      </x:c>
      <x:c r="C10" s="63" t="str">
        <x:v>移動</x:v>
      </x:c>
      <x:c r="D10" s="85" t="str">
        <x:v>決定済み</x:v>
      </x:c>
      <x:c r="E10" s="63" t="str">
        <x:v>基本アクション</x:v>
      </x:c>
      <x:c r="F10" s="75" t="str">
        <x:v>左移動、右移動、ジャンプのみ。</x:v>
      </x:c>
      <x:c r="G10" s="75" t="str">
        <x:v>ダッシュ・二段ジャンプ・壁ジャンプ・攻撃は追加しない。</x:v>
      </x:c>
      <x:c r="H10" s="75" t="str">
        <x:v>3操作だけで基本ステージを移動できる。</x:v>
      </x:c>
      <x:c r="I10" s="75" t="str">
        <x:v>6.2</x:v>
      </x:c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85" t="str">
        <x:v>S010</x:v>
      </x:c>
      <x:c r="B11" s="63" t="str">
        <x:v>プレイヤー</x:v>
      </x:c>
      <x:c r="C11" s="63" t="str">
        <x:v>移動</x:v>
      </x:c>
      <x:c r="D11" s="85" t="str">
        <x:v>未決定</x:v>
      </x:c>
      <x:c r="E11" s="63" t="str">
        <x:v>移動パラメータ</x:v>
      </x:c>
      <x:c r="F11" s="75" t="str">
        <x:v>移動速度、加速度、ジャンプ力、重力、空中制御、文房具上摩擦は未決定。</x:v>
      </x:c>
      <x:c r="G11" s="75" t="str">
        <x:v>プロトタイプ後にプレイ感から調整する。</x:v>
      </x:c>
      <x:c r="H11" s="75" t="str">
        <x:v>値を変更しても挙動が破綻しないパラメータ化が必要。</x:v>
      </x:c>
      <x:c r="I11" s="75" t="str">
        <x:v>41.2</x:v>
      </x:c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85" t="str">
        <x:v>S011</x:v>
      </x:c>
      <x:c r="B12" s="63" t="str">
        <x:v>プレイヤー</x:v>
      </x:c>
      <x:c r="C12" s="63" t="str">
        <x:v>キー操作</x:v>
      </x:c>
      <x:c r="D12" s="85" t="str">
        <x:v>仮決定</x:v>
      </x:c>
      <x:c r="E12" s="63" t="str">
        <x:v>左右移動</x:v>
      </x:c>
      <x:c r="F12" s="75" t="str">
        <x:v>A / Dで左右移動。</x:v>
      </x:c>
      <x:c r="G12" s="75" t="str">
        <x:v>変更可能な入力設定として扱う。</x:v>
      </x:c>
      <x:c r="H12" s="75" t="str">
        <x:v>A/D入力で意図した左右移動ができる。</x:v>
      </x:c>
      <x:c r="I12" s="75" t="str">
        <x:v>6.3,40</x:v>
      </x:c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85" t="str">
        <x:v>S012</x:v>
      </x:c>
      <x:c r="B13" s="63" t="str">
        <x:v>プレイヤー</x:v>
      </x:c>
      <x:c r="C13" s="63" t="str">
        <x:v>キー操作</x:v>
      </x:c>
      <x:c r="D13" s="85" t="str">
        <x:v>仮決定</x:v>
      </x:c>
      <x:c r="E13" s="63" t="str">
        <x:v>ジャンプ</x:v>
      </x:c>
      <x:c r="F13" s="75" t="str">
        <x:v>Spaceでジャンプ。</x:v>
      </x:c>
      <x:c r="G13" s="75" t="str">
        <x:v>変更可能な入力設定として扱う。</x:v>
      </x:c>
      <x:c r="H13" s="75" t="str">
        <x:v>接地中のみなど、採用したジャンプ条件で安定して発動する。</x:v>
      </x:c>
      <x:c r="I13" s="75" t="str">
        <x:v>6.3,40</x:v>
      </x:c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85" t="str">
        <x:v>S013</x:v>
      </x:c>
      <x:c r="B14" s="63" t="str">
        <x:v>プレイヤー</x:v>
      </x:c>
      <x:c r="C14" s="63" t="str">
        <x:v>キー操作</x:v>
      </x:c>
      <x:c r="D14" s="85" t="str">
        <x:v>仮決定</x:v>
      </x:c>
      <x:c r="E14" s="63" t="str">
        <x:v>文房具操作</x:v>
      </x:c>
      <x:c r="F14" s="75" t="str">
        <x:v>左クリック:選択/配置確定、左ドラッグ:未使用文房具移動、ホイール:回転、右クリック:キャンセル。</x:v>
      </x:c>
      <x:c r="G14" s="75" t="str">
        <x:v>操作競合を避けるため入力優先順位を整理する。</x:v>
      </x:c>
      <x:c r="H14" s="75" t="str">
        <x:v>移動しながら配置操作が可能。</x:v>
      </x:c>
      <x:c r="I14" s="75" t="str">
        <x:v>6.3,40</x:v>
      </x:c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85" t="str">
        <x:v>S014</x:v>
      </x:c>
      <x:c r="B15" s="63" t="str">
        <x:v>プレイヤー</x:v>
      </x:c>
      <x:c r="C15" s="63" t="str">
        <x:v>キー操作</x:v>
      </x:c>
      <x:c r="D15" s="85" t="str">
        <x:v>仮決定</x:v>
      </x:c>
      <x:c r="E15" s="63" t="str">
        <x:v>手動リトライ</x:v>
      </x:c>
      <x:c r="F15" s="75" t="str">
        <x:v>R長押しで発動。</x:v>
      </x:c>
      <x:c r="G15" s="75" t="str">
        <x:v>長押し時間は未決定。ゲージ表示を行う方向。</x:v>
      </x:c>
      <x:c r="H15" s="75" t="str">
        <x:v>短押しで誤発動せず、規定時間で発動する。</x:v>
      </x:c>
      <x:c r="I15" s="75" t="str">
        <x:v>6.3,26,40</x:v>
      </x:c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85" t="str">
        <x:v>S015</x:v>
      </x:c>
      <x:c r="B16" s="63" t="str">
        <x:v>ゲーム進行</x:v>
      </x:c>
      <x:c r="C16" s="63" t="str">
        <x:v>リアルタイム</x:v>
      </x:c>
      <x:c r="D16" s="85" t="str">
        <x:v>決定済み</x:v>
      </x:c>
      <x:c r="E16" s="63" t="str">
        <x:v>完全リアルタイム</x:v>
      </x:c>
      <x:c r="F16" s="75" t="str">
        <x:v>文房具購入・移動・回転・鉛筆描画中もゲームを停止しない。</x:v>
      </x:c>
      <x:c r="G16" s="75" t="str">
        <x:v>ポーズ式配置、ビルドモード、スローモーションは採用しない。</x:v>
      </x:c>
      <x:c r="H16" s="75" t="str">
        <x:v>文房具操作中もプレイヤー/敵/動的文房具が更新される。</x:v>
      </x:c>
      <x:c r="I16" s="75" t="str">
        <x:v>7</x:v>
      </x:c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85" t="str">
        <x:v>S016</x:v>
      </x:c>
      <x:c r="B17" s="63" t="str">
        <x:v>文房具</x:v>
      </x:c>
      <x:c r="C17" s="63" t="str">
        <x:v>共通</x:v>
      </x:c>
      <x:c r="D17" s="85" t="str">
        <x:v>決定済み</x:v>
      </x:c>
      <x:c r="E17" s="63" t="str">
        <x:v>種類</x:v>
      </x:c>
      <x:c r="F17" s="75" t="str">
        <x:v>定規、三角定規、鉛筆、消しゴムの4種類。</x:v>
      </x:c>
      <x:c r="G17" s="75" t="str">
        <x:v>追加文房具は現仕様の対象外。</x:v>
      </x:c>
      <x:c r="H17" s="75" t="str">
        <x:v>購入UIに4種類のみ表示される。</x:v>
      </x:c>
      <x:c r="I17" s="75" t="str">
        <x:v>8</x:v>
      </x:c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85" t="str">
        <x:v>S017</x:v>
      </x:c>
      <x:c r="B18" s="63" t="str">
        <x:v>文房具</x:v>
      </x:c>
      <x:c r="C18" s="63" t="str">
        <x:v>共通</x:v>
      </x:c>
      <x:c r="D18" s="85" t="str">
        <x:v>決定済み</x:v>
      </x:c>
      <x:c r="E18" s="63" t="str">
        <x:v>役割分担</x:v>
      </x:c>
      <x:c r="F18" s="75" t="str">
        <x:v>定規=距離、三角定規=高さ、鉛筆=形・自由度、消しゴム=安定。</x:v>
      </x:c>
      <x:c r="G18" s="75" t="str">
        <x:v>各文房具の強みが重複しすぎないよう調整する。</x:v>
      </x:c>
      <x:c r="H18" s="75" t="str">
        <x:v>各文房具を使う理由がプレイ上で確認できる。</x:v>
      </x:c>
      <x:c r="I18" s="75" t="str">
        <x:v>8</x:v>
      </x:c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85" t="str">
        <x:v>S018</x:v>
      </x:c>
      <x:c r="B19" s="63" t="str">
        <x:v>文房具</x:v>
      </x:c>
      <x:c r="C19" s="63" t="str">
        <x:v>配置</x:v>
      </x:c>
      <x:c r="D19" s="85" t="str">
        <x:v>決定済み</x:v>
      </x:c>
      <x:c r="E19" s="63" t="str">
        <x:v>自由配置</x:v>
      </x:c>
      <x:c r="F19" s="75" t="str">
        <x:v>文房具は空間上の好きな位置に配置できる。地面接触必須などの制限は設けない。</x:v>
      </x:c>
      <x:c r="G19" s="75" t="str">
        <x:v>空中配置も許可し、配置後に物理挙動へ移行する。</x:v>
      </x:c>
      <x:c r="H19" s="75" t="str">
        <x:v>空中配置した動的文房具が落下する。</x:v>
      </x:c>
      <x:c r="I19" s="75" t="str">
        <x:v>13</x:v>
      </x:c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85" t="str">
        <x:v>S019</x:v>
      </x:c>
      <x:c r="B20" s="63" t="str">
        <x:v>文房具</x:v>
      </x:c>
      <x:c r="C20" s="63" t="str">
        <x:v>回転</x:v>
      </x:c>
      <x:c r="D20" s="85" t="str">
        <x:v>決定済み</x:v>
      </x:c>
      <x:c r="E20" s="63" t="str">
        <x:v>自由回転</x:v>
      </x:c>
      <x:c r="F20" s="75" t="str">
        <x:v>定規・三角定規・消しゴムは自由角度で回転可能。</x:v>
      </x:c>
      <x:c r="G20" s="75" t="str">
        <x:v>角度プリセットではなく連続的な回転を基本にする。</x:v>
      </x:c>
      <x:c r="H20" s="75" t="str">
        <x:v>水平/斜め/垂直付近まで設定できる。</x:v>
      </x:c>
      <x:c r="I20" s="75" t="str">
        <x:v>14</x:v>
      </x:c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85" t="str">
        <x:v>S020</x:v>
      </x:c>
      <x:c r="B21" s="63" t="str">
        <x:v>文房具</x:v>
      </x:c>
      <x:c r="C21" s="63" t="str">
        <x:v>回転</x:v>
      </x:c>
      <x:c r="D21" s="85" t="str">
        <x:v>未決定</x:v>
      </x:c>
      <x:c r="E21" s="63" t="str">
        <x:v>回転操作パラメータ</x:v>
      </x:c>
      <x:c r="F21" s="75" t="str">
        <x:v>回転速度・回転刻みは未決定。</x:v>
      </x:c>
      <x:c r="G21" s="75" t="str">
        <x:v>ホイール操作の気持ちよさをプレイテストで調整する。</x:v>
      </x:c>
      <x:c r="H21" s="75" t="str">
        <x:v>細かい角度調整と大きな回転が両立する。</x:v>
      </x:c>
      <x:c r="I21" s="75" t="str">
        <x:v>14,41.4</x:v>
      </x:c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85" t="str">
        <x:v>S021</x:v>
      </x:c>
      <x:c r="B22" s="63" t="str">
        <x:v>文房具</x:v>
      </x:c>
      <x:c r="C22" s="63" t="str">
        <x:v>衝突</x:v>
      </x:c>
      <x:c r="D22" s="85" t="str">
        <x:v>決定済み</x:v>
      </x:c>
      <x:c r="E22" s="63" t="str">
        <x:v>文房具同士の衝突</x:v>
      </x:c>
      <x:c r="F22" s="75" t="str">
        <x:v>定規・三角定規・消しゴム等の文房具同士に当たり判定を持たせる。</x:v>
      </x:c>
      <x:c r="G22" s="75" t="str">
        <x:v>組み合わせ攻略は可能だが、複雑な多体物理を必須にしない。</x:v>
      </x:c>
      <x:c r="H22" s="75" t="str">
        <x:v>三角定規上に定規を置く、消しゴムで支える等が可能。</x:v>
      </x:c>
      <x:c r="I22" s="75" t="str">
        <x:v>15</x:v>
      </x:c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85" t="str">
        <x:v>S022</x:v>
      </x:c>
      <x:c r="B23" s="63" t="str">
        <x:v>定規</x:v>
      </x:c>
      <x:c r="C23" s="63" t="str">
        <x:v>役割</x:v>
      </x:c>
      <x:c r="D23" s="85" t="str">
        <x:v>決定済み</x:v>
      </x:c>
      <x:c r="E23" s="63" t="str">
        <x:v>距離を作る</x:v>
      </x:c>
      <x:c r="F23" s="75" t="str">
        <x:v>横方向に長く、橋・長い足場・斜め足場として利用する。比較的安価な位置付け。</x:v>
      </x:c>
      <x:c r="G23" s="75" t="str">
        <x:v>具体サイズ・価格は未決定。</x:v>
      </x:c>
      <x:c r="H23" s="75" t="str">
        <x:v>穴を定規で橋渡しできる。</x:v>
      </x:c>
      <x:c r="I23" s="75" t="str">
        <x:v>9</x:v>
      </x:c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85" t="str">
        <x:v>S023</x:v>
      </x:c>
      <x:c r="B24" s="63" t="str">
        <x:v>定規</x:v>
      </x:c>
      <x:c r="C24" s="63" t="str">
        <x:v>物理</x:v>
      </x:c>
      <x:c r="D24" s="85" t="str">
        <x:v>決定済み</x:v>
      </x:c>
      <x:c r="E24" s="63" t="str">
        <x:v>動的物理</x:v>
      </x:c>
      <x:c r="F24" s="75" t="str">
        <x:v>配置後は重力、接触、滑り、回転、転倒などが発生する動的物体。</x:v>
      </x:c>
      <x:c r="G24" s="75" t="str">
        <x:v>簡易剛体として扱う。</x:v>
      </x:c>
      <x:c r="H24" s="75" t="str">
        <x:v>落下し、接触後に不自然なめり込みを続けない。</x:v>
      </x:c>
      <x:c r="I24" s="75" t="str">
        <x:v>9,16</x:v>
      </x:c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85" t="str">
        <x:v>S024</x:v>
      </x:c>
      <x:c r="B25" s="63" t="str">
        <x:v>三角定規</x:v>
      </x:c>
      <x:c r="C25" s="63" t="str">
        <x:v>役割</x:v>
      </x:c>
      <x:c r="D25" s="85" t="str">
        <x:v>決定済み</x:v>
      </x:c>
      <x:c r="E25" s="63" t="str">
        <x:v>高さを作る</x:v>
      </x:c>
      <x:c r="F25" s="75" t="str">
        <x:v>定規より横幅が短めで高さを持ち、坂・高低差・支えに使える。</x:v>
      </x:c>
      <x:c r="G25" s="75" t="str">
        <x:v>具体サイズ・価格は未決定。</x:v>
      </x:c>
      <x:c r="H25" s="75" t="str">
        <x:v>坂として上れる、定規の支えになる。</x:v>
      </x:c>
      <x:c r="I25" s="75" t="str">
        <x:v>10</x:v>
      </x:c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85" t="str">
        <x:v>S025</x:v>
      </x:c>
      <x:c r="B26" s="63" t="str">
        <x:v>三角定規</x:v>
      </x:c>
      <x:c r="C26" s="63" t="str">
        <x:v>物理</x:v>
      </x:c>
      <x:c r="D26" s="85" t="str">
        <x:v>決定済み</x:v>
      </x:c>
      <x:c r="E26" s="63" t="str">
        <x:v>動的物理</x:v>
      </x:c>
      <x:c r="F26" s="75" t="str">
        <x:v>配置後は定規と同様の動的物理オブジェクト。</x:v>
      </x:c>
      <x:c r="G26" s="75" t="str">
        <x:v>回転形状の当たり判定が必要。</x:v>
      </x:c>
      <x:c r="H26" s="75" t="str">
        <x:v>斜め配置や転倒時にも当たり判定が追従する。</x:v>
      </x:c>
      <x:c r="I26" s="75" t="str">
        <x:v>10,16</x:v>
      </x:c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85" t="str">
        <x:v>S026</x:v>
      </x:c>
      <x:c r="B27" s="63" t="str">
        <x:v>鉛筆</x:v>
      </x:c>
      <x:c r="C27" s="63" t="str">
        <x:v>役割</x:v>
      </x:c>
      <x:c r="D27" s="85" t="str">
        <x:v>決定済み</x:v>
      </x:c>
      <x:c r="E27" s="63" t="str">
        <x:v>形・自由度を作る</x:v>
      </x:c>
      <x:c r="F27" s="75" t="str">
        <x:v>物体を置くのではなく、マウス軌跡に沿って線を描き足場を生成する。</x:v>
      </x:c>
      <x:c r="G27" s="75" t="str">
        <x:v>他3種と別系統の配置システムとして実装する。</x:v>
      </x:c>
      <x:c r="H27" s="75" t="str">
        <x:v>自由形状の足場を描ける。</x:v>
      </x:c>
      <x:c r="I27" s="75" t="str">
        <x:v>11</x:v>
      </x:c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85" t="str">
        <x:v>S027</x:v>
      </x:c>
      <x:c r="B28" s="63" t="str">
        <x:v>鉛筆</x:v>
      </x:c>
      <x:c r="C28" s="63" t="str">
        <x:v>描画</x:v>
      </x:c>
      <x:c r="D28" s="85" t="str">
        <x:v>仮決定</x:v>
      </x:c>
      <x:c r="E28" s="63" t="str">
        <x:v>描画フロー</x:v>
      </x:c>
      <x:c r="F28" s="75" t="str">
        <x:v>鉛筆購入→描画モード→左クリック押下中にマウス移動→軌跡生成→ボタンを離して確定。</x:v>
      </x:c>
      <x:c r="G28" s="75" t="str">
        <x:v>ストローク単位で管理できる構造が望ましい。</x:v>
      </x:c>
      <x:c r="H28" s="75" t="str">
        <x:v>押下中のみ描画し、離した時点で確定する。</x:v>
      </x:c>
      <x:c r="I28" s="75" t="str">
        <x:v>11.1,40</x:v>
      </x:c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85" t="str">
        <x:v>S028</x:v>
      </x:c>
      <x:c r="B29" s="63" t="str">
        <x:v>鉛筆</x:v>
      </x:c>
      <x:c r="C29" s="63" t="str">
        <x:v>リソース</x:v>
      </x:c>
      <x:c r="D29" s="85" t="str">
        <x:v>決定済み</x:v>
      </x:c>
      <x:c r="E29" s="63" t="str">
        <x:v>総描画距離制限</x:v>
      </x:c>
      <x:c r="F29" s="75" t="str">
        <x:v>1本ごとに描画可能な総距離を持ち、描いた実距離に応じて残量を消費する。</x:v>
      </x:c>
      <x:c r="G29" s="75" t="str">
        <x:v>ストローク回数ではなく距離で管理する。</x:v>
      </x:c>
      <x:c r="H29" s="75" t="str">
        <x:v>複数ストロークでも残量が累積消費される。</x:v>
      </x:c>
      <x:c r="I29" s="75" t="str">
        <x:v>11.2</x:v>
      </x:c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85" t="str">
        <x:v>S029</x:v>
      </x:c>
      <x:c r="B30" s="63" t="str">
        <x:v>鉛筆</x:v>
      </x:c>
      <x:c r="C30" s="63" t="str">
        <x:v>リソース</x:v>
      </x:c>
      <x:c r="D30" s="85" t="str">
        <x:v>決定済み</x:v>
      </x:c>
      <x:c r="E30" s="63" t="str">
        <x:v>残量0時</x:v>
      </x:c>
      <x:c r="F30" s="75" t="str">
        <x:v>残量0では追加描画不可。新しい鉛筆購入が必要。</x:v>
      </x:c>
      <x:c r="G30" s="75" t="str">
        <x:v>残量UIが必要。</x:v>
      </x:c>
      <x:c r="H30" s="75" t="str">
        <x:v>残量0で描画が増えない。</x:v>
      </x:c>
      <x:c r="I30" s="75" t="str">
        <x:v>11.2</x:v>
      </x:c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85" t="str">
        <x:v>S030</x:v>
      </x:c>
      <x:c r="B31" s="63" t="str">
        <x:v>鉛筆</x:v>
      </x:c>
      <x:c r="C31" s="63" t="str">
        <x:v>物理</x:v>
      </x:c>
      <x:c r="D31" s="85" t="str">
        <x:v>決定済み</x:v>
      </x:c>
      <x:c r="E31" s="63" t="str">
        <x:v>静的足場</x:v>
      </x:c>
      <x:c r="F31" s="75" t="str">
        <x:v>描いた線はステージ固定。重力・滑り・回転・位置変化なし。</x:v>
      </x:c>
      <x:c r="G31" s="75" t="str">
        <x:v>動的物理とは分離して扱う。</x:v>
      </x:c>
      <x:c r="H31" s="75" t="str">
        <x:v>描画後の線が勝手に移動しない。</x:v>
      </x:c>
      <x:c r="I31" s="75" t="str">
        <x:v>11.3</x:v>
      </x:c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85" t="str">
        <x:v>S031</x:v>
      </x:c>
      <x:c r="B32" s="63" t="str">
        <x:v>鉛筆</x:v>
      </x:c>
      <x:c r="C32" s="63" t="str">
        <x:v>バランス</x:v>
      </x:c>
      <x:c r="D32" s="85" t="str">
        <x:v>決定済み</x:v>
      </x:c>
      <x:c r="E32" s="63" t="str">
        <x:v>高価で安定</x:v>
      </x:c>
      <x:c r="F32" s="75" t="str">
        <x:v>自由度と安定性が高い代わりに購入価格を高めにする。</x:v>
      </x:c>
      <x:c r="G32" s="75" t="str">
        <x:v>具体価格は未決定。</x:v>
      </x:c>
      <x:c r="H32" s="75" t="str">
        <x:v>定規等より安全な攻略手段として機能する。</x:v>
      </x:c>
      <x:c r="I32" s="75" t="str">
        <x:v>11.3</x:v>
      </x:c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85" t="str">
        <x:v>S032</x:v>
      </x:c>
      <x:c r="B33" s="63" t="str">
        <x:v>鉛筆</x:v>
      </x:c>
      <x:c r="C33" s="63" t="str">
        <x:v>詳細</x:v>
      </x:c>
      <x:c r="D33" s="85" t="str">
        <x:v>未決定</x:v>
      </x:c>
      <x:c r="E33" s="63" t="str">
        <x:v>鉛筆パラメータ</x:v>
      </x:c>
      <x:c r="F33" s="75" t="str">
        <x:v>総描画距離、価格、線の太さ、補間方法、編集、削除、残量返却などは未決定。</x:v>
      </x:c>
      <x:c r="G33" s="75" t="str">
        <x:v>実装前に最低限『線生成/Collider生成/残量計算』の方式を決める。</x:v>
      </x:c>
      <x:c r="H33" s="75" t="str">
        <x:v>未決定値を定数直書きせず調整可能にする。</x:v>
      </x:c>
      <x:c r="I33" s="75" t="str">
        <x:v>11.4,41.5</x:v>
      </x:c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85" t="str">
        <x:v>S033</x:v>
      </x:c>
      <x:c r="B34" s="63" t="str">
        <x:v>消しゴム</x:v>
      </x:c>
      <x:c r="C34" s="63" t="str">
        <x:v>役割</x:v>
      </x:c>
      <x:c r="D34" s="85" t="str">
        <x:v>決定済み</x:v>
      </x:c>
      <x:c r="E34" s="63" t="str">
        <x:v>安定を作る</x:v>
      </x:c>
      <x:c r="F34" s="75" t="str">
        <x:v>削除用途ではなく、高摩擦のストッパー・支えとして使う。</x:v>
      </x:c>
      <x:c r="G34" s="75" t="str">
        <x:v>物理的リアルさより安定性を優先して補正可。</x:v>
      </x:c>
      <x:c r="H34" s="75" t="str">
        <x:v>定規の滑り止め・支えとして機能する。</x:v>
      </x:c>
      <x:c r="I34" s="75" t="str">
        <x:v>12</x:v>
      </x:c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85" t="str">
        <x:v>S034</x:v>
      </x:c>
      <x:c r="B35" s="63" t="str">
        <x:v>消しゴム</x:v>
      </x:c>
      <x:c r="C35" s="63" t="str">
        <x:v>物理</x:v>
      </x:c>
      <x:c r="D35" s="85" t="str">
        <x:v>方向性決定</x:v>
      </x:c>
      <x:c r="E35" s="63" t="str">
        <x:v>高摩擦・安定補正</x:v>
      </x:c>
      <x:c r="F35" s="75" t="str">
        <x:v>摩擦を高くし、静止判定に入りやすくするなどゲーム的補正を許可。</x:v>
      </x:c>
      <x:c r="G35" s="75" t="str">
        <x:v>具体摩擦係数・Sleep条件は未決定。</x:v>
      </x:c>
      <x:c r="H35" s="75" t="str">
        <x:v>定規等を支えた状態で致命的な滑りが起きない。</x:v>
      </x:c>
      <x:c r="I35" s="75" t="str">
        <x:v>12,16</x:v>
      </x:c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85" t="str">
        <x:v>S035</x:v>
      </x:c>
      <x:c r="B36" s="63" t="str">
        <x:v>物理</x:v>
      </x:c>
      <x:c r="C36" s="63" t="str">
        <x:v>方針</x:v>
      </x:c>
      <x:c r="D36" s="85" t="str">
        <x:v>方向性決定</x:v>
      </x:c>
      <x:c r="E36" s="63" t="str">
        <x:v>簡易物理</x:v>
      </x:c>
      <x:c r="F36" s="75" t="str">
        <x:v>完全な剛体シミュレーションではなく『重さがあり雑に置けば動く』と感じる程度を目指す。</x:v>
      </x:c>
      <x:c r="G36" s="75" t="str">
        <x:v>再現性・遊びやすさを物理リアリティより優先する。</x:v>
      </x:c>
      <x:c r="H36" s="75" t="str">
        <x:v>同条件なら概ね同じ結果になり、異常振動が続かない。</x:v>
      </x:c>
      <x:c r="I36" s="75" t="str">
        <x:v>16,45</x:v>
      </x:c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85" t="str">
        <x:v>S036</x:v>
      </x:c>
      <x:c r="B37" s="63" t="str">
        <x:v>物理</x:v>
      </x:c>
      <x:c r="C37" s="63" t="str">
        <x:v>要素</x:v>
      </x:c>
      <x:c r="D37" s="85" t="str">
        <x:v>方向性決定</x:v>
      </x:c>
      <x:c r="E37" s="63" t="str">
        <x:v>管理候補</x:v>
      </x:c>
      <x:c r="F37" s="75" t="str">
        <x:v>Position, Velocity, Rotation, AngularVelocity, Mass, Friction, Collision Normal, Penetration Depth, Sleep。</x:v>
      </x:c>
      <x:c r="G37" s="75" t="str">
        <x:v>必要最小限から実装する。</x:v>
      </x:c>
      <x:c r="H37" s="75" t="str">
        <x:v>各値の更新責務が追跡できる。</x:v>
      </x:c>
      <x:c r="I37" s="75" t="str">
        <x:v>16</x:v>
      </x:c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85" t="str">
        <x:v>S037</x:v>
      </x:c>
      <x:c r="B38" s="63" t="str">
        <x:v>物理</x:v>
      </x:c>
      <x:c r="C38" s="63" t="str">
        <x:v>衝突結果</x:v>
      </x:c>
      <x:c r="D38" s="85" t="str">
        <x:v>方向性決定</x:v>
      </x:c>
      <x:c r="E38" s="63" t="str">
        <x:v>CollisionResult</x:v>
      </x:c>
      <x:c r="F38" s="75" t="str">
        <x:v>Hit(bool)だけでなくNormal、PenetrationDepth、必要ならContactPointを返す仕組みを検討。</x:v>
      </x:c>
      <x:c r="G38" s="75" t="str">
        <x:v>押し戻し・滑り・回転・安定化に利用する。</x:v>
      </x:c>
      <x:c r="H38" s="75" t="str">
        <x:v>OBB衝突時に法線とめり込み量が取得できる。</x:v>
      </x:c>
      <x:c r="I38" s="75" t="str">
        <x:v>36</x:v>
      </x:c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85" t="str">
        <x:v>S038</x:v>
      </x:c>
      <x:c r="B39" s="63" t="str">
        <x:v>物理</x:v>
      </x:c>
      <x:c r="C39" s="63" t="str">
        <x:v>優先順位</x:v>
      </x:c>
      <x:c r="D39" s="85" t="str">
        <x:v>決定済み</x:v>
      </x:c>
      <x:c r="E39" s="63" t="str">
        <x:v>物理品質の優先順</x:v>
      </x:c>
      <x:c r="F39" s="75" t="str">
        <x:v>1.意図した道を作れる 2.当たり判定安定 3.再現性 4.重さ/摩擦感 5.リアルさ。</x:v>
      </x:c>
      <x:c r="G39" s="75" t="str">
        <x:v>リアルさのために操作性を犠牲にしない。</x:v>
      </x:c>
      <x:c r="H39" s="75" t="str">
        <x:v>プレイテストで攻略失敗の原因が理解できる。</x:v>
      </x:c>
      <x:c r="I39" s="75" t="str">
        <x:v>45</x:v>
      </x:c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85" t="str">
        <x:v>S039</x:v>
      </x:c>
      <x:c r="B40" s="63" t="str">
        <x:v>文房具状態</x:v>
      </x:c>
      <x:c r="C40" s="63" t="str">
        <x:v>状態遷移</x:v>
      </x:c>
      <x:c r="D40" s="85" t="str">
        <x:v>決定済み</x:v>
      </x:c>
      <x:c r="E40" s="63" t="str">
        <x:v>状態</x:v>
      </x:c>
      <x:c r="F40" s="75" t="str">
        <x:v>所持 → 配置・未使用 → 使用済み。</x:v>
      </x:c>
      <x:c r="G40" s="75" t="str">
        <x:v>状態をenum等で明示的に管理する。</x:v>
      </x:c>
      <x:c r="H40" s="75" t="str">
        <x:v>各状態で可能操作が仕様通り切り替わる。</x:v>
      </x:c>
      <x:c r="I40" s="75" t="str">
        <x:v>17.1</x:v>
      </x:c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85" t="str">
        <x:v>S040</x:v>
      </x:c>
      <x:c r="B41" s="63" t="str">
        <x:v>文房具状態</x:v>
      </x:c>
      <x:c r="C41" s="63" t="str">
        <x:v>未使用</x:v>
      </x:c>
      <x:c r="D41" s="85" t="str">
        <x:v>決定済み</x:v>
      </x:c>
      <x:c r="E41" s="63" t="str">
        <x:v>配置・未使用</x:v>
      </x:c>
      <x:c r="F41" s="75" t="str">
        <x:v>配置後でもプレイヤー未接触なら掴み直し・移動・回転・再配置・回収が可能。物理は配置直後から有効。</x:v>
      </x:c>
      <x:c r="G41" s="75" t="str">
        <x:v>編集可能状態と物理有効状態を分離する。</x:v>
      </x:c>
      <x:c r="H41" s="75" t="str">
        <x:v>未使用の物体を再操作でき、重力等は止まらない。</x:v>
      </x:c>
      <x:c r="I41" s="75" t="str">
        <x:v>17.2</x:v>
      </x:c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85" t="str">
        <x:v>S041</x:v>
      </x:c>
      <x:c r="B42" s="63" t="str">
        <x:v>文房具状態</x:v>
      </x:c>
      <x:c r="C42" s="63" t="str">
        <x:v>使用済み化</x:v>
      </x:c>
      <x:c r="D42" s="85" t="str">
        <x:v>決定済み</x:v>
      </x:c>
      <x:c r="E42" s="63" t="str">
        <x:v>使用済み条件</x:v>
      </x:c>
      <x:c r="F42" s="75" t="str">
        <x:v>プレイヤーがその文房具へ物理的に接触した時点で使用済み。</x:v>
      </x:c>
      <x:c r="G42" s="75" t="str">
        <x:v>接触イベントから一度だけ状態遷移させる。</x:v>
      </x:c>
      <x:c r="H42" s="75" t="str">
        <x:v>初回接触でUSED状態になる。</x:v>
      </x:c>
      <x:c r="I42" s="75" t="str">
        <x:v>17.3</x:v>
      </x:c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85" t="str">
        <x:v>S042</x:v>
      </x:c>
      <x:c r="B43" s="63" t="str">
        <x:v>文房具状態</x:v>
      </x:c>
      <x:c r="C43" s="63" t="str">
        <x:v>使用済み</x:v>
      </x:c>
      <x:c r="D43" s="85" t="str">
        <x:v>決定済み</x:v>
      </x:c>
      <x:c r="E43" s="63" t="str">
        <x:v>操作制限</x:v>
      </x:c>
      <x:c r="F43" s="75" t="str">
        <x:v>USED後は移動・回転・回収・再配置不可。</x:v>
      </x:c>
      <x:c r="G43" s="75" t="str">
        <x:v>マウス選択対象から除外する。</x:v>
      </x:c>
      <x:c r="H43" s="75" t="str">
        <x:v>USED物体を掴めない。</x:v>
      </x:c>
      <x:c r="I43" s="75" t="str">
        <x:v>17.4</x:v>
      </x:c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85" t="str">
        <x:v>S043</x:v>
      </x:c>
      <x:c r="B44" s="63" t="str">
        <x:v>文房具状態</x:v>
      </x:c>
      <x:c r="C44" s="63" t="str">
        <x:v>使用済み</x:v>
      </x:c>
      <x:c r="D44" s="85" t="str">
        <x:v>決定済み</x:v>
      </x:c>
      <x:c r="E44" s="63" t="str">
        <x:v>物理継続</x:v>
      </x:c>
      <x:c r="F44" s="75" t="str">
        <x:v>USED後も落下・滑り・回転・他物体との衝突は継続する。</x:v>
      </x:c>
      <x:c r="G44" s="75" t="str">
        <x:v>USED=固定ではない点に注意。</x:v>
      </x:c>
      <x:c r="H44" s="75" t="str">
        <x:v>USED化後も外力で動ける。</x:v>
      </x:c>
      <x:c r="I44" s="75" t="str">
        <x:v>17.4</x:v>
      </x:c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85" t="str">
        <x:v>S044</x:v>
      </x:c>
      <x:c r="B45" s="63" t="str">
        <x:v>文房具状態</x:v>
      </x:c>
      <x:c r="C45" s="63" t="str">
        <x:v>誤使用防止</x:v>
      </x:c>
      <x:c r="D45" s="85" t="str">
        <x:v>未決定</x:v>
      </x:c>
      <x:c r="E45" s="63" t="str">
        <x:v>配置直後の接触</x:v>
      </x:c>
      <x:c r="F45" s="75" t="str">
        <x:v>配置瞬間にプレイヤーと重なった場合の即USED化対策は未決定。</x:v>
      </x:c>
      <x:c r="G45" s="75" t="str">
        <x:v>候補:配置直後接触無視、いったん非接触後の再接触でUSED化。</x:v>
      </x:c>
      <x:c r="H45" s="75" t="str">
        <x:v>意図しない即USEDが発生しない方式を採用する。</x:v>
      </x:c>
      <x:c r="I45" s="75" t="str">
        <x:v>17.5</x:v>
      </x:c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85" t="str">
        <x:v>S045</x:v>
      </x:c>
      <x:c r="B46" s="63" t="str">
        <x:v>経済</x:v>
      </x:c>
      <x:c r="C46" s="63" t="str">
        <x:v>コイン</x:v>
      </x:c>
      <x:c r="D46" s="85" t="str">
        <x:v>決定済み</x:v>
      </x:c>
      <x:c r="E46" s="63" t="str">
        <x:v>コイン用途</x:v>
      </x:c>
      <x:c r="F46" s="75" t="str">
        <x:v>ステージ内有限。基本用途は文房具購入のみ。残機購入には使わない。</x:v>
      </x:c>
      <x:c r="G46" s="75" t="str">
        <x:v>取得済み状態を保存可能にする。</x:v>
      </x:c>
      <x:c r="H46" s="75" t="str">
        <x:v>取得で所持数が増え、再取得できない。</x:v>
      </x:c>
      <x:c r="I46" s="75" t="str">
        <x:v>18</x:v>
      </x:c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85" t="str">
        <x:v>S046</x:v>
      </x:c>
      <x:c r="B47" s="63" t="str">
        <x:v>経済</x:v>
      </x:c>
      <x:c r="C47" s="63" t="str">
        <x:v>コイン</x:v>
      </x:c>
      <x:c r="D47" s="85" t="str">
        <x:v>決定済み</x:v>
      </x:c>
      <x:c r="E47" s="63" t="str">
        <x:v>バランス思想</x:v>
      </x:c>
      <x:c r="F47" s="75" t="str">
        <x:v>全コイン必須にはせず、工夫して攻略すると余る程度を目標。</x:v>
      </x:c>
      <x:c r="G47" s="75" t="str">
        <x:v>消費効率と攻略安定性のトレードオフを作る。</x:v>
      </x:c>
      <x:c r="H47" s="75" t="str">
        <x:v>低コスト/高コスト双方の攻略が成立する。</x:v>
      </x:c>
      <x:c r="I47" s="75" t="str">
        <x:v>18.1</x:v>
      </x:c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85" t="str">
        <x:v>S047</x:v>
      </x:c>
      <x:c r="B48" s="63" t="str">
        <x:v>購入</x:v>
      </x:c>
      <x:c r="C48" s="63" t="str">
        <x:v>UI</x:v>
      </x:c>
      <x:c r="D48" s="85" t="str">
        <x:v>決定済み</x:v>
      </x:c>
      <x:c r="E48" s="63" t="str">
        <x:v>購入方式</x:v>
      </x:c>
      <x:c r="F48" s="75" t="str">
        <x:v>ショップ地点・専用画面を廃止し、いつでも使える簡易購入UIを採用。</x:v>
      </x:c>
      <x:c r="G48" s="75" t="str">
        <x:v>ゲーム進行を止めないUIにする。</x:v>
      </x:c>
      <x:c r="H48" s="75" t="str">
        <x:v>移動中でもUIから購入開始できる。</x:v>
      </x:c>
      <x:c r="I48" s="75" t="str">
        <x:v>19</x:v>
      </x:c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85" t="str">
        <x:v>S048</x:v>
      </x:c>
      <x:c r="B49" s="63" t="str">
        <x:v>購入</x:v>
      </x:c>
      <x:c r="C49" s="63" t="str">
        <x:v>フロー</x:v>
      </x:c>
      <x:c r="D49" s="85" t="str">
        <x:v>仮決定</x:v>
      </x:c>
      <x:c r="E49" s="63" t="str">
        <x:v>購入フロー</x:v>
      </x:c>
      <x:c r="F49" s="75" t="str">
        <x:v>UIクリック→所持コイン確認→購入可能なら消費→カーソルに付く→位置調整/回転→左クリックで確定。</x:v>
      </x:c>
      <x:c r="G49" s="75" t="str">
        <x:v>購入中状態を明示して多重購入を防ぐ。</x:v>
      </x:c>
      <x:c r="H49" s="75" t="str">
        <x:v>所持金不足時は生成されず、足りる時だけコイン消費される。</x:v>
      </x:c>
      <x:c r="I49" s="75" t="str">
        <x:v>19.1</x:v>
      </x:c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85" t="str">
        <x:v>S049</x:v>
      </x:c>
      <x:c r="B50" s="63" t="str">
        <x:v>購入</x:v>
      </x:c>
      <x:c r="C50" s="63" t="str">
        <x:v>キャンセル</x:v>
      </x:c>
      <x:c r="D50" s="85" t="str">
        <x:v>仮決定</x:v>
      </x:c>
      <x:c r="E50" s="63" t="str">
        <x:v>購入キャンセル</x:v>
      </x:c>
      <x:c r="F50" s="75" t="str">
        <x:v>配置確定前の右クリックでキャンセルし、消費コインを返却する方向。</x:v>
      </x:c>
      <x:c r="G50" s="75" t="str">
        <x:v>配置確定後は返金しない。</x:v>
      </x:c>
      <x:c r="H50" s="75" t="str">
        <x:v>確定前キャンセルで所持コインが購入前に戻る。</x:v>
      </x:c>
      <x:c r="I50" s="75" t="str">
        <x:v>19.2,40</x:v>
      </x:c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85" t="str">
        <x:v>S050</x:v>
      </x:c>
      <x:c r="B51" s="63" t="str">
        <x:v>敵</x:v>
      </x:c>
      <x:c r="C51" s="63" t="str">
        <x:v>役割</x:v>
      </x:c>
      <x:c r="D51" s="85" t="str">
        <x:v>決定済み</x:v>
      </x:c>
      <x:c r="E51" s="63" t="str">
        <x:v>動く障害物</x:v>
      </x:c>
      <x:c r="F51" s="75" t="str">
        <x:v>敵は存在するが戦闘対象ではなく、避けて突破する動く障害物。</x:v>
      </x:c>
      <x:c r="G51" s="75" t="str">
        <x:v>プレイヤーに攻撃手段・敵HPを持たせない。</x:v>
      </x:c>
      <x:c r="H51" s="75" t="str">
        <x:v>敵を倒さずに回避ルートが成立する。</x:v>
      </x:c>
      <x:c r="I51" s="75" t="str">
        <x:v>20</x:v>
      </x:c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85" t="str">
        <x:v>S051</x:v>
      </x:c>
      <x:c r="B52" s="63" t="str">
        <x:v>敵</x:v>
      </x:c>
      <x:c r="C52" s="63" t="str">
        <x:v>攻略</x:v>
      </x:c>
      <x:c r="D52" s="85" t="str">
        <x:v>決定済み</x:v>
      </x:c>
      <x:c r="E52" s="63" t="str">
        <x:v>回避方法</x:v>
      </x:c>
      <x:c r="F52" s="75" t="str">
        <x:v>ジャンプ、別ルート、高所、鉛筆迂回路などで回避する。</x:v>
      </x:c>
      <x:c r="G52" s="75" t="str">
        <x:v>敵配置はルート構築を促す用途にする。</x:v>
      </x:c>
      <x:c r="H52" s="75" t="str">
        <x:v>少なくとも1つ以上の回避手段が成立する。</x:v>
      </x:c>
      <x:c r="I52" s="75" t="str">
        <x:v>20</x:v>
      </x:c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85" t="str">
        <x:v>S052</x:v>
      </x:c>
      <x:c r="B53" s="63" t="str">
        <x:v>敵</x:v>
      </x:c>
      <x:c r="C53" s="63" t="str">
        <x:v>文房具干渉</x:v>
      </x:c>
      <x:c r="D53" s="85" t="str">
        <x:v>未決定</x:v>
      </x:c>
      <x:c r="E53" s="63" t="str">
        <x:v>敵×文房具衝突</x:v>
      </x:c>
      <x:c r="F53" s="75" t="str">
        <x:v>敵と文房具が物理的に衝突するか未決定。</x:v>
      </x:c>
      <x:c r="G53" s="75" t="str">
        <x:v>閉じ込め・武器化の副作用を評価して決める。</x:v>
      </x:c>
      <x:c r="H53" s="75" t="str">
        <x:v>衝突ON/OFF両案を試し、ゲーム目的と矛盾しない方を採用。</x:v>
      </x:c>
      <x:c r="I53" s="75" t="str">
        <x:v>20.2,41.6</x:v>
      </x:c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85" t="str">
        <x:v>S053</x:v>
      </x:c>
      <x:c r="B54" s="63" t="str">
        <x:v>ライフ</x:v>
      </x:c>
      <x:c r="C54" s="63" t="str">
        <x:v>HP</x:v>
      </x:c>
      <x:c r="D54" s="85" t="str">
        <x:v>決定済み</x:v>
      </x:c>
      <x:c r="E54" s="63" t="str">
        <x:v>HPなし</x:v>
      </x:c>
      <x:c r="F54" s="75" t="str">
        <x:v>HP・ダメージ量の概念は基本的に存在しない。</x:v>
      </x:c>
      <x:c r="G54" s="75" t="str">
        <x:v>被弾は即1ミスとして処理する。</x:v>
      </x:c>
      <x:c r="H54" s="75" t="str">
        <x:v>HP表示・ダメージ計算が不要。</x:v>
      </x:c>
      <x:c r="I54" s="75" t="str">
        <x:v>21.1</x:v>
      </x:c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85" t="str">
        <x:v>S054</x:v>
      </x:c>
      <x:c r="B55" s="63" t="str">
        <x:v>ライフ</x:v>
      </x:c>
      <x:c r="C55" s="63" t="str">
        <x:v>残機</x:v>
      </x:c>
      <x:c r="D55" s="85" t="str">
        <x:v>決定済み</x:v>
      </x:c>
      <x:c r="E55" s="63" t="str">
        <x:v>初期残機</x:v>
      </x:c>
      <x:c r="F55" s="75" t="str">
        <x:v>ステージ開始時の残機は3。現状1UPなし。</x:v>
      </x:c>
      <x:c r="G55" s="75" t="str">
        <x:v>残機はチェックポイント復元対象から分離する。</x:v>
      </x:c>
      <x:c r="H55" s="75" t="str">
        <x:v>ステージ開始時に3、ミスごとに1減る。</x:v>
      </x:c>
      <x:c r="I55" s="75" t="str">
        <x:v>21.2,24.2</x:v>
      </x:c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85" t="str">
        <x:v>S055</x:v>
      </x:c>
      <x:c r="B56" s="63" t="str">
        <x:v>ミス</x:v>
      </x:c>
      <x:c r="C56" s="63" t="str">
        <x:v>条件</x:v>
      </x:c>
      <x:c r="D56" s="85" t="str">
        <x:v>決定済み</x:v>
      </x:c>
      <x:c r="E56" s="63" t="str">
        <x:v>ミス条件</x:v>
      </x:c>
      <x:c r="F56" s="75" t="str">
        <x:v>敵接触、危険判定接触、ステージ外落下はすべて1ミス。</x:v>
      </x:c>
      <x:c r="G56" s="75" t="str">
        <x:v>共通Miss処理へ集約する。</x:v>
      </x:c>
      <x:c r="H56" s="75" t="str">
        <x:v>3条件のどれでも同じ復帰フローに入る。</x:v>
      </x:c>
      <x:c r="I56" s="75" t="str">
        <x:v>22</x:v>
      </x:c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85" t="str">
        <x:v>S056</x:v>
      </x:c>
      <x:c r="B57" s="63" t="str">
        <x:v>ミス</x:v>
      </x:c>
      <x:c r="C57" s="63" t="str">
        <x:v>落下</x:v>
      </x:c>
      <x:c r="D57" s="85" t="str">
        <x:v>決定済み</x:v>
      </x:c>
      <x:c r="E57" s="63" t="str">
        <x:v>落下ダメージなし</x:v>
      </x:c>
      <x:c r="F57" s="75" t="str">
        <x:v>高所から落ちても有効地面へ着地すれば問題なし。死亡境界を越えた場合のみミス。</x:v>
      </x:c>
      <x:c r="G57" s="75" t="str">
        <x:v>落下速度でダメージ判定しない。</x:v>
      </x:c>
      <x:c r="H57" s="75" t="str">
        <x:v>高所着地で残機が減らない。</x:v>
      </x:c>
      <x:c r="I57" s="75" t="str">
        <x:v>22.1</x:v>
      </x:c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85" t="str">
        <x:v>S057</x:v>
      </x:c>
      <x:c r="B58" s="63" t="str">
        <x:v>ミス</x:v>
      </x:c>
      <x:c r="C58" s="63" t="str">
        <x:v>復帰</x:v>
      </x:c>
      <x:c r="D58" s="85" t="str">
        <x:v>決定済み</x:v>
      </x:c>
      <x:c r="E58" s="63" t="str">
        <x:v>ミス後処理</x:v>
      </x:c>
      <x:c r="F58" s="75" t="str">
        <x:v>残機-1→残機確認→1以上なら最後のCPへ復帰→CP時点のステージ状態を復元。減少した残機は戻さない。</x:v>
      </x:c>
      <x:c r="G58" s="75" t="str">
        <x:v>LifeとStageSnapshotを別管理する。</x:v>
      </x:c>
      <x:c r="H58" s="75" t="str">
        <x:v>残機だけ現在値を維持して復元される。</x:v>
      </x:c>
      <x:c r="I58" s="75" t="str">
        <x:v>23</x:v>
      </x:c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85" t="str">
        <x:v>S058</x:v>
      </x:c>
      <x:c r="B59" s="63" t="str">
        <x:v>チェックポイント</x:v>
      </x:c>
      <x:c r="C59" s="63" t="str">
        <x:v>基本</x:v>
      </x:c>
      <x:c r="D59" s="85" t="str">
        <x:v>決定済み</x:v>
      </x:c>
      <x:c r="E59" s="63" t="str">
        <x:v>スナップショット</x:v>
      </x:c>
      <x:c r="F59" s="75" t="str">
        <x:v>CPは復活位置だけでなく、その時点のステージ状態を保存する。</x:v>
      </x:c>
      <x:c r="G59" s="75" t="str">
        <x:v>Snapshot構造体/クラスで一括保存・復元を行う。</x:v>
      </x:c>
      <x:c r="H59" s="75" t="str">
        <x:v>CP後の変更を巻き戻せる。</x:v>
      </x:c>
      <x:c r="I59" s="75" t="str">
        <x:v>24</x:v>
      </x:c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85" t="str">
        <x:v>S059</x:v>
      </x:c>
      <x:c r="B60" s="63" t="str">
        <x:v>チェックポイント</x:v>
      </x:c>
      <x:c r="C60" s="63" t="str">
        <x:v>保存対象</x:v>
      </x:c>
      <x:c r="D60" s="85" t="str">
        <x:v>方向性決定</x:v>
      </x:c>
      <x:c r="E60" s="63" t="str">
        <x:v>保存データ</x:v>
      </x:c>
      <x:c r="F60" s="75" t="str">
        <x:v>復活位置、所持コイン、コイン取得状態、所持/購入文房具、鉛筆残量、配置文房具、位置・角度、使用状態、鉛筆線、進行状態など。</x:v>
      </x:c>
      <x:c r="G60" s="75" t="str">
        <x:v>Velocity/AngularVelocity保存は未決定。</x:v>
      </x:c>
      <x:c r="H60" s="75" t="str">
        <x:v>保存→変更→復元で主要状態が一致する。</x:v>
      </x:c>
      <x:c r="I60" s="75" t="str">
        <x:v>24.1</x:v>
      </x:c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85" t="str">
        <x:v>S060</x:v>
      </x:c>
      <x:c r="B61" s="63" t="str">
        <x:v>チェックポイント</x:v>
      </x:c>
      <x:c r="C61" s="63" t="str">
        <x:v>残機</x:v>
      </x:c>
      <x:c r="D61" s="85" t="str">
        <x:v>決定済み</x:v>
      </x:c>
      <x:c r="E61" s="63" t="str">
        <x:v>残機は別管理</x:v>
      </x:c>
      <x:c r="F61" s="75" t="str">
        <x:v>残機はSnapshotに含めない、または復元対象から除外する。</x:v>
      </x:c>
      <x:c r="G61" s="75" t="str">
        <x:v>StageStateとLifeStateを明確に分離する。</x:v>
      </x:c>
      <x:c r="H61" s="75" t="str">
        <x:v>CP保存後に残機が減っても復元で増えない。</x:v>
      </x:c>
      <x:c r="I61" s="75" t="str">
        <x:v>24.2</x:v>
      </x:c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85" t="str">
        <x:v>S061</x:v>
      </x:c>
      <x:c r="B62" s="63" t="str">
        <x:v>チェックポイント</x:v>
      </x:c>
      <x:c r="C62" s="63" t="str">
        <x:v>コイン</x:v>
      </x:c>
      <x:c r="D62" s="85" t="str">
        <x:v>決定済み</x:v>
      </x:c>
      <x:c r="E62" s="63" t="str">
        <x:v>CP後の取得巻き戻し</x:v>
      </x:c>
      <x:c r="F62" s="75" t="str">
        <x:v>CP後に取得したコインは復帰時に取得前へ戻り、ステージ上に再出現する。</x:v>
      </x:c>
      <x:c r="G62" s="75" t="str">
        <x:v>コイン個体IDと取得状態の保存が必要。</x:v>
      </x:c>
      <x:c r="H62" s="75" t="str">
        <x:v>復帰後に再取得できる。</x:v>
      </x:c>
      <x:c r="I62" s="75" t="str">
        <x:v>25</x:v>
      </x:c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85" t="str">
        <x:v>S062</x:v>
      </x:c>
      <x:c r="B63" s="63" t="str">
        <x:v>チェックポイント</x:v>
      </x:c>
      <x:c r="C63" s="63" t="str">
        <x:v>購入</x:v>
      </x:c>
      <x:c r="D63" s="85" t="str">
        <x:v>決定済み</x:v>
      </x:c>
      <x:c r="E63" s="63" t="str">
        <x:v>CP後の購入巻き戻し</x:v>
      </x:c>
      <x:c r="F63" s="75" t="str">
        <x:v>CP後に購入・配置した文房具もCP時点へ戻る。</x:v>
      </x:c>
      <x:c r="G63" s="75" t="str">
        <x:v>生成/削除を含む復元が必要。</x:v>
      </x:c>
      <x:c r="H63" s="75" t="str">
        <x:v>CP後に買った文房具が復帰時に消え、コインも戻る。</x:v>
      </x:c>
      <x:c r="I63" s="75" t="str">
        <x:v>25</x:v>
      </x:c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85" t="str">
        <x:v>S063</x:v>
      </x:c>
      <x:c r="B64" s="63" t="str">
        <x:v>チェックポイント</x:v>
      </x:c>
      <x:c r="C64" s="63" t="str">
        <x:v>詳細</x:v>
      </x:c>
      <x:c r="D64" s="85" t="str">
        <x:v>未決定</x:v>
      </x:c>
      <x:c r="E64" s="63" t="str">
        <x:v>CP詳細</x:v>
      </x:c>
      <x:c r="F64" s="75" t="str">
        <x:v>配置間隔、保存演出、速度/角速度保存、復元直後無敵、復元演出は未決定。</x:v>
      </x:c>
      <x:c r="G64" s="75" t="str">
        <x:v>プロトタイプでは演出よりデータ整合性を先に検証する。</x:v>
      </x:c>
      <x:c r="H64" s="75" t="str">
        <x:v>復元直後に連続ミス等が起きない仕様を決定する。</x:v>
      </x:c>
      <x:c r="I64" s="75" t="str">
        <x:v>41.7</x:v>
      </x:c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85" t="str">
        <x:v>S064</x:v>
      </x:c>
      <x:c r="B65" s="63" t="str">
        <x:v>リトライ</x:v>
      </x:c>
      <x:c r="C65" s="63" t="str">
        <x:v>基本</x:v>
      </x:c>
      <x:c r="D65" s="85" t="str">
        <x:v>決定済み</x:v>
      </x:c>
      <x:c r="E65" s="63" t="str">
        <x:v>手動リトライ</x:v>
      </x:c>
      <x:c r="F65" s="75" t="str">
        <x:v>プレイヤー判断で最後のCPまで巻き戻せる。残機は消費しない。</x:v>
      </x:c>
      <x:c r="G65" s="75" t="str">
        <x:v>Miss復帰と共通のSnapshot復元処理を利用する。</x:v>
      </x:c>
      <x:c r="H65" s="75" t="str">
        <x:v>手動リトライ後も残機が変化しない。</x:v>
      </x:c>
      <x:c r="I65" s="75" t="str">
        <x:v>26</x:v>
      </x:c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85" t="str">
        <x:v>S065</x:v>
      </x:c>
      <x:c r="B66" s="63" t="str">
        <x:v>リトライ</x:v>
      </x:c>
      <x:c r="C66" s="63" t="str">
        <x:v>発動</x:v>
      </x:c>
      <x:c r="D66" s="85" t="str">
        <x:v>決定済み</x:v>
      </x:c>
      <x:c r="E66" s="63" t="str">
        <x:v>即時発動禁止</x:v>
      </x:c>
      <x:c r="F66" s="75" t="str">
        <x:v>緊急回避に使いにくくするため、一定時間の長押しが必要。</x:v>
      </x:c>
      <x:c r="G66" s="75" t="str">
        <x:v>長押し中ゲージ表示。秒数は未決定。</x:v>
      </x:c>
      <x:c r="H66" s="75" t="str">
        <x:v>短時間入力では発動しない。</x:v>
      </x:c>
      <x:c r="I66" s="75" t="str">
        <x:v>26.2,26.3</x:v>
      </x:c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85" t="str">
        <x:v>S066</x:v>
      </x:c>
      <x:c r="B67" s="63" t="str">
        <x:v>リトライ</x:v>
      </x:c>
      <x:c r="C67" s="63" t="str">
        <x:v>復元対象</x:v>
      </x:c>
      <x:c r="D67" s="85" t="str">
        <x:v>決定済み</x:v>
      </x:c>
      <x:c r="E67" s="63" t="str">
        <x:v>復元</x:v>
      </x:c>
      <x:c r="F67" s="75" t="str">
        <x:v>コイン、取得状態、文房具、購入、配置、鉛筆線、その他ステージ状態をCPへ戻す。</x:v>
      </x:c>
      <x:c r="G67" s="75" t="str">
        <x:v>残機のみ変化させない。</x:v>
      </x:c>
      <x:c r="H67" s="75" t="str">
        <x:v>Miss復帰と同じSnapshot結果になる。</x:v>
      </x:c>
      <x:c r="I67" s="75" t="str">
        <x:v>26.4</x:v>
      </x:c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85" t="str">
        <x:v>S067</x:v>
      </x:c>
      <x:c r="B68" s="63" t="str">
        <x:v>ゲームオーバー</x:v>
      </x:c>
      <x:c r="C68" s="63" t="str">
        <x:v>条件</x:v>
      </x:c>
      <x:c r="D68" s="85" t="str">
        <x:v>決定済み</x:v>
      </x:c>
      <x:c r="E68" s="63" t="str">
        <x:v>GAME OVER</x:v>
      </x:c>
      <x:c r="F68" s="75" t="str">
        <x:v>残機0でゲームオーバー。</x:v>
      </x:c>
      <x:c r="G68" s="75" t="str">
        <x:v>残機判定はMiss処理直後に行う。</x:v>
      </x:c>
      <x:c r="H68" s="75" t="str">
        <x:v>0になった時だけGameOverへ遷移。</x:v>
      </x:c>
      <x:c r="I68" s="75" t="str">
        <x:v>27</x:v>
      </x:c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85" t="str">
        <x:v>S068</x:v>
      </x:c>
      <x:c r="B69" s="63" t="str">
        <x:v>ゲームオーバー</x:v>
      </x:c>
      <x:c r="C69" s="63" t="str">
        <x:v>再開</x:v>
      </x:c>
      <x:c r="D69" s="85" t="str">
        <x:v>決定済み</x:v>
      </x:c>
      <x:c r="E69" s="63" t="str">
        <x:v>ステージ最初から</x:v>
      </x:c>
      <x:c r="F69" s="75" t="str">
        <x:v>Game Over後は現在ステージを最初からやり直し、CP記録も破棄。残機3へ戻す。</x:v>
      </x:c>
      <x:c r="G69" s="75" t="str">
        <x:v>StageInitialSnapshotまたは再ロードで完全初期化する。</x:v>
      </x:c>
      <x:c r="H69" s="75" t="str">
        <x:v>コイン/文房具/鉛筆線/CP進行が初期化される。</x:v>
      </x:c>
      <x:c r="I69" s="75" t="str">
        <x:v>27</x:v>
      </x:c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85" t="str">
        <x:v>S069</x:v>
      </x:c>
      <x:c r="B70" s="63" t="str">
        <x:v>ゲーム進行</x:v>
      </x:c>
      <x:c r="C70" s="63" t="str">
        <x:v>差分</x:v>
      </x:c>
      <x:c r="D70" s="85" t="str">
        <x:v>決定済み</x:v>
      </x:c>
      <x:c r="E70" s="63" t="str">
        <x:v>復帰ルール整理</x:v>
      </x:c>
      <x:c r="F70" s="75" t="str">
        <x:v>手動リトライ:残機減らずCP、通常ミス:残機-1でCP、残機0:残機3でステージ最初。</x:v>
      </x:c>
      <x:c r="G70" s="75" t="str">
        <x:v>復帰理由をenumで分岐すると整理しやすい。</x:v>
      </x:c>
      <x:c r="H70" s="75" t="str">
        <x:v>3ケースの状態差分が仕様通り。</x:v>
      </x:c>
      <x:c r="I70" s="75" t="str">
        <x:v>28</x:v>
      </x:c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85" t="str">
        <x:v>S070</x:v>
      </x:c>
      <x:c r="B71" s="63" t="str">
        <x:v>ステージ</x:v>
      </x:c>
      <x:c r="C71" s="63" t="str">
        <x:v>ゲームループ</x:v>
      </x:c>
      <x:c r="D71" s="85" t="str">
        <x:v>決定済み</x:v>
      </x:c>
      <x:c r="E71" s="63" t="str">
        <x:v>1ステージの流れ</x:v>
      </x:c>
      <x:c r="F71" s="75" t="str">
        <x:v>開始→移動→コイン取得→障害/敵→思考→購入→配置/描画→道構築→突破→CP→最終ゴール→CLEAR。</x:v>
      </x:c>
      <x:c r="G71" s="75" t="str">
        <x:v>各システムをこの流れに接続する。</x:v>
      </x:c>
      <x:c r="H71" s="75" t="str">
        <x:v>最小ステージで一連の流れを完走できる。</x:v>
      </x:c>
      <x:c r="I71" s="75" t="str">
        <x:v>29</x:v>
      </x:c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85" t="str">
        <x:v>S071</x:v>
      </x:c>
      <x:c r="B72" s="63" t="str">
        <x:v>ステージ</x:v>
      </x:c>
      <x:c r="C72" s="63" t="str">
        <x:v>複数解</x:v>
      </x:c>
      <x:c r="D72" s="85" t="str">
        <x:v>方向性決定</x:v>
      </x:c>
      <x:c r="E72" s="63" t="str">
        <x:v>攻略の選択</x:v>
      </x:c>
      <x:c r="F72" s="75" t="str">
        <x:v>定規で節約、複数文房具で安定、鉛筆で高コスト高安定など複数選択を成立させる。</x:v>
      </x:c>
      <x:c r="G72" s="75" t="str">
        <x:v>どれか1つだけを正解にしない。</x:v>
      </x:c>
      <x:c r="H72" s="75" t="str">
        <x:v>同一障害に2通り以上の実用解がある。</x:v>
      </x:c>
      <x:c r="I72" s="75" t="str">
        <x:v>30,31</x:v>
      </x:c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85" t="str">
        <x:v>S072</x:v>
      </x:c>
      <x:c r="B73" s="63" t="str">
        <x:v>ステージ</x:v>
      </x:c>
      <x:c r="C73" s="63" t="str">
        <x:v>制約</x:v>
      </x:c>
      <x:c r="D73" s="85" t="str">
        <x:v>方向性決定</x:v>
      </x:c>
      <x:c r="E73" s="63" t="str">
        <x:v>自由度の制御</x:v>
      </x:c>
      <x:c r="F73" s="75" t="str">
        <x:v>コイン、価格、鉛筆残量、物理、USED、地形で自由度を制御する。</x:v>
      </x:c>
      <x:c r="G73" s="75" t="str">
        <x:v>配置禁止ルールを増やして制御しすぎない。</x:v>
      </x:c>
      <x:c r="H73" s="75" t="str">
        <x:v>何をしても突破可能/何もできないの両極端を避ける。</x:v>
      </x:c>
      <x:c r="I73" s="75" t="str">
        <x:v>31</x:v>
      </x:c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85" t="str">
        <x:v>S073</x:v>
      </x:c>
      <x:c r="B74" s="63" t="str">
        <x:v>ステージ</x:v>
      </x:c>
      <x:c r="C74" s="63" t="str">
        <x:v>長さ</x:v>
      </x:c>
      <x:c r="D74" s="85" t="str">
        <x:v>方向性決定</x:v>
      </x:c>
      <x:c r="E74" s="63" t="str">
        <x:v>ステージ長</x:v>
      </x:c>
      <x:c r="F74" s="75" t="str">
        <x:v>Game Overで最初からのため、1ステージを長くしすぎない。</x:v>
      </x:c>
      <x:c r="G74" s="75" t="str">
        <x:v>クリア時間、CP間隔、障害数、敵密度を後で調整する。</x:v>
      </x:c>
      <x:c r="H74" s="75" t="str">
        <x:v>Game Over時のやり直し負担が過大でない。</x:v>
      </x:c>
      <x:c r="I74" s="75" t="str">
        <x:v>32</x:v>
      </x:c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85" t="str">
        <x:v>S074</x:v>
      </x:c>
      <x:c r="B75" s="63" t="str">
        <x:v>ステージ</x:v>
      </x:c>
      <x:c r="C75" s="63" t="str">
        <x:v>時間制限</x:v>
      </x:c>
      <x:c r="D75" s="85" t="str">
        <x:v>未決定</x:v>
      </x:c>
      <x:c r="E75" s="63" t="str">
        <x:v>制限時間</x:v>
      </x:c>
      <x:c r="F75" s="75" t="str">
        <x:v>リメイクで時間制限を設けるか未決定。思考時間重視のため慎重に検討。</x:v>
      </x:c>
      <x:c r="G75" s="75" t="str">
        <x:v>初期プロトタイプでは必須機能にしない。</x:v>
      </x:c>
      <x:c r="H75" s="75" t="str">
        <x:v>時間制限の有無でコア体験が損なわれないか比較する。</x:v>
      </x:c>
      <x:c r="I75" s="75" t="str">
        <x:v>41.10</x:v>
      </x:c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85" t="str">
        <x:v>S075</x:v>
      </x:c>
      <x:c r="B76" s="63" t="str">
        <x:v>技術</x:v>
      </x:c>
      <x:c r="C76" s="63" t="str">
        <x:v>環境</x:v>
      </x:c>
      <x:c r="D76" s="85" t="str">
        <x:v>決定済み</x:v>
      </x:c>
      <x:c r="E76" s="63" t="str">
        <x:v>使用技術</x:v>
      </x:c>
      <x:c r="F76" s="75" t="str">
        <x:v>C++ / Visual Studio / vivid2D Library 2.9 / DX Library / Effekseer。</x:v>
      </x:c>
      <x:c r="G76" s="75" t="str">
        <x:v>既存Utilityを活用しつつゲーム固有処理と分離する。</x:v>
      </x:c>
      <x:c r="H76" s="75" t="str">
        <x:v>対象環境でビルド・起動できる。</x:v>
      </x:c>
      <x:c r="I76" s="75" t="str">
        <x:v>33</x:v>
      </x:c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85" t="str">
        <x:v>S076</x:v>
      </x:c>
      <x:c r="B77" s="63" t="str">
        <x:v>技術</x:v>
      </x:c>
      <x:c r="C77" s="63" t="str">
        <x:v>構成</x:v>
      </x:c>
      <x:c r="D77" s="85" t="str">
        <x:v>方向性決定</x:v>
      </x:c>
      <x:c r="E77" s="63" t="str">
        <x:v>プロジェクト構成</x:v>
      </x:c>
      <x:c r="F77" s="75" t="str">
        <x:v>game/src配下にmain, game, game_object, utility(collision/csv/data/movie/sound等)から開始。</x:v>
      </x:c>
      <x:c r="G77" s="75" t="str">
        <x:v>GameObject周辺は今後設計。</x:v>
      </x:c>
      <x:c r="H77" s="75" t="str">
        <x:v>責務ごとにファイルが分離される。</x:v>
      </x:c>
      <x:c r="I77" s="75" t="str">
        <x:v>34</x:v>
      </x:c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85" t="str">
        <x:v>S077</x:v>
      </x:c>
      <x:c r="B78" s="63" t="str">
        <x:v>当たり判定</x:v>
      </x:c>
      <x:c r="C78" s="63" t="str">
        <x:v>形状</x:v>
      </x:c>
      <x:c r="D78" s="85" t="str">
        <x:v>方向性決定</x:v>
      </x:c>
      <x:c r="E78" s="63" t="str">
        <x:v>対応形状</x:v>
      </x:c>
      <x:c r="F78" s="75" t="str">
        <x:v>Point, Segment, Circle, Capsule, AABB, OBB。自由回転文房具ではOBBが重要。</x:v>
      </x:c>
      <x:c r="G78" s="75" t="str">
        <x:v>OBBを優先的に検証する。</x:v>
      </x:c>
      <x:c r="H78" s="75" t="str">
        <x:v>回転文房具のColliderが見た目に追従する。</x:v>
      </x:c>
      <x:c r="I78" s="75" t="str">
        <x:v>35</x:v>
      </x:c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85" t="str">
        <x:v>S078</x:v>
      </x:c>
      <x:c r="B79" s="63" t="str">
        <x:v>当たり判定</x:v>
      </x:c>
      <x:c r="C79" s="63" t="str">
        <x:v>アルゴリズム</x:v>
      </x:c>
      <x:c r="D79" s="85" t="str">
        <x:v>方向性決定</x:v>
      </x:c>
      <x:c r="E79" s="63" t="str">
        <x:v>SAT</x:v>
      </x:c>
      <x:c r="F79" s="75" t="str">
        <x:v>OBB同士等の衝突ではSATを利用する方向。最小重なり軸から法線・めり込み量を取得する案。</x:v>
      </x:c>
      <x:c r="G79" s="75" t="str">
        <x:v>汎用Collision Utility側で結果情報を返す設計を検討。</x:v>
      </x:c>
      <x:c r="H79" s="75" t="str">
        <x:v>回転OBB同士で衝突有無・法線・重なり量が妥当。</x:v>
      </x:c>
      <x:c r="I79" s="75" t="str">
        <x:v>35,36</x:v>
      </x:c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85" t="str">
        <x:v>S079</x:v>
      </x:c>
      <x:c r="B80" s="63" t="str">
        <x:v>設計</x:v>
      </x:c>
      <x:c r="C80" s="63" t="str">
        <x:v>システム分割</x:v>
      </x:c>
      <x:c r="D80" s="85" t="str">
        <x:v>方向性決定</x:v>
      </x:c>
      <x:c r="E80" s="63" t="str">
        <x:v>主要システム</x:v>
      </x:c>
      <x:c r="F80" s="75" t="str">
        <x:v>Game Flow / Player / Stationery / Physics / Economy / Enemy / UIを分離して整理する。</x:v>
      </x:c>
      <x:c r="G80" s="75" t="str">
        <x:v>依存方向を単純化し、巨大Gameクラスを避ける。</x:v>
      </x:c>
      <x:c r="H80" s="75" t="str">
        <x:v>各処理の責務が特定クラス/モジュールに収まる。</x:v>
      </x:c>
      <x:c r="I80" s="75" t="str">
        <x:v>42</x:v>
      </x:c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85" t="str">
        <x:v>S080</x:v>
      </x:c>
      <x:c r="B81" s="63" t="str">
        <x:v>設計</x:v>
      </x:c>
      <x:c r="C81" s="63" t="str">
        <x:v>実装順</x:v>
      </x:c>
      <x:c r="D81" s="85" t="str">
        <x:v>決定済み</x:v>
      </x:c>
      <x:c r="E81" s="63" t="str">
        <x:v>段階実装</x:v>
      </x:c>
      <x:c r="F81" s="75" t="str">
        <x:v>遊べる最小構成から段階的に増やし、ステージ制作は基本システム成立後に行う。</x:v>
      </x:c>
      <x:c r="G81" s="75" t="str">
        <x:v>定規1種類で回転足場→物理を先に検証する。</x:v>
      </x:c>
      <x:c r="H81" s="75" t="str">
        <x:v>Phase単位で動作確認可能な状態を維持する。</x:v>
      </x:c>
      <x:c r="I81" s="75" t="str">
        <x:v>43,48</x:v>
      </x:c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conditionalFormatting sqref="D2:D81">
    <x:cfRule type="expression" dxfId="0" priority="1">
      <x:formula>D2="決定済み"</x:formula>
    </x:cfRule>
    <x:cfRule type="expression" dxfId="1" priority="2">
      <x:formula>D2="仮決定"</x:formula>
    </x:cfRule>
    <x:cfRule type="expression" dxfId="2" priority="3">
      <x:formula>D2="方向性決定"</x:formula>
    </x:cfRule>
    <x:cfRule type="expression" dxfId="3" priority="4">
      <x:formula>D2="未決定"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3428cabb5e40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9" hidden="0" customWidth="1"/>
    <x:col min="5" max="5" width="12" hidden="0" customWidth="1"/>
    <x:col min="6" max="6" width="28" hidden="0" customWidth="1"/>
    <x:col min="7" max="7" width="52" hidden="0" customWidth="1"/>
    <x:col min="8" max="8" width="20" hidden="0" customWidth="1"/>
    <x:col min="9" max="9" width="48" hidden="0" customWidth="1"/>
    <x:col min="10" max="10" width="28" hidden="0" customWidth="1"/>
  </x:cols>
  <x:sheetData>
    <x:row r="1">
      <x:c r="A1" s="62" t="str">
        <x:v>TODO ID</x:v>
      </x:c>
      <x:c r="B1" s="62" t="str">
        <x:v>Phase</x:v>
      </x:c>
      <x:c r="C1" s="62" t="str">
        <x:v>カテゴリ</x:v>
      </x:c>
      <x:c r="D1" s="62" t="str">
        <x:v>優先度</x:v>
      </x:c>
      <x:c r="E1" s="62" t="str">
        <x:v>状態</x:v>
      </x:c>
      <x:c r="F1" s="62" t="str">
        <x:v>タスク</x:v>
      </x:c>
      <x:c r="G1" s="62" t="str">
        <x:v>実装内容</x:v>
      </x:c>
      <x:c r="H1" s="62" t="str">
        <x:v>依存</x:v>
      </x:c>
      <x:c r="I1" s="62" t="str">
        <x:v>完了条件</x:v>
      </x:c>
      <x:c r="J1" s="62" t="str">
        <x:v>備考</x:v>
      </x:c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85" t="str">
        <x:v>T001</x:v>
      </x:c>
      <x:c r="B2" s="85" t="str">
        <x:v>Phase 1</x:v>
      </x:c>
      <x:c r="C2" s="85" t="str">
        <x:v>基盤</x:v>
      </x:c>
      <x:c r="D2" s="85" t="str">
        <x:v>高</x:v>
      </x:c>
      <x:c r="E2" s="85" t="str">
        <x:v>未着手</x:v>
      </x:c>
      <x:c r="F2" s="75" t="str">
        <x:v>Game/Stage基本ループを作る</x:v>
      </x:c>
      <x:c r="G2" s="75" t="str">
        <x:v>初期化・更新・描画・終了の流れとStage開始/再読込の枠組みを実装する。</x:v>
      </x:c>
      <x:c r="H2" s="75" t="str">
        <x:v>なし</x:v>
      </x:c>
      <x:c r="I2" s="75" t="str">
        <x:v>空ステージを起動し、更新と描画が安定してループする。</x:v>
      </x:c>
      <x:c r="J2" s="75" t="str">
        <x:v>最小構成</x:v>
      </x:c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85" t="str">
        <x:v>T002</x:v>
      </x:c>
      <x:c r="B3" s="85" t="str">
        <x:v>Phase 1</x:v>
      </x:c>
      <x:c r="C3" s="85" t="str">
        <x:v>設計</x:v>
      </x:c>
      <x:c r="D3" s="85" t="str">
        <x:v>高</x:v>
      </x:c>
      <x:c r="E3" s="85" t="str">
        <x:v>未着手</x:v>
      </x:c>
      <x:c r="F3" s="75" t="str">
        <x:v>GameObject基本方針を決める</x:v>
      </x:c>
      <x:c r="G3" s="75" t="str">
        <x:v>位置・更新・描画・有効フラグ等、共通責務の最小構成を決める。</x:v>
      </x:c>
      <x:c r="H3" s="75" t="str">
        <x:v>T001</x:v>
      </x:c>
      <x:c r="I3" s="75" t="str">
        <x:v>PlayerとRulerを同じ管理方針で生成/更新できる。</x:v>
      </x:c>
      <x:c r="J3" s="75" t="str">
        <x:v>過剰な継承は避ける</x:v>
      </x:c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85" t="str">
        <x:v>T003</x:v>
      </x:c>
      <x:c r="B4" s="85" t="str">
        <x:v>Phase 1</x:v>
      </x:c>
      <x:c r="C4" s="85" t="str">
        <x:v>カメラ</x:v>
      </x:c>
      <x:c r="D4" s="85" t="str">
        <x:v>高</x:v>
      </x:c>
      <x:c r="E4" s="85" t="str">
        <x:v>未着手</x:v>
      </x:c>
      <x:c r="F4" s="75" t="str">
        <x:v>カメラ基本追従を実装</x:v>
      </x:c>
      <x:c r="G4" s="75" t="str">
        <x:v>プレイヤー追従とワールド→スクリーン変換を整理する。</x:v>
      </x:c>
      <x:c r="H4" s="75" t="str">
        <x:v>T001</x:v>
      </x:c>
      <x:c r="I4" s="75" t="str">
        <x:v>プレイヤー移動に追従し、描画位置と当たり判定座標が混同されない。</x:v>
      </x:c>
      <x:c r="J4" s="75" t="str">
        <x:v>前作の手動スクロール改善</x:v>
      </x:c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85" t="str">
        <x:v>T004</x:v>
      </x:c>
      <x:c r="B5" s="85" t="str">
        <x:v>Phase 1</x:v>
      </x:c>
      <x:c r="C5" s="85" t="str">
        <x:v>Player</x:v>
      </x:c>
      <x:c r="D5" s="85" t="str">
        <x:v>高</x:v>
      </x:c>
      <x:c r="E5" s="85" t="str">
        <x:v>未着手</x:v>
      </x:c>
      <x:c r="F5" s="75" t="str">
        <x:v>左右移動を実装</x:v>
      </x:c>
      <x:c r="G5" s="75" t="str">
        <x:v>A/D入力、速度更新、向き更新を実装する。</x:v>
      </x:c>
      <x:c r="H5" s="75" t="str">
        <x:v>T001,T002</x:v>
      </x:c>
      <x:c r="I5" s="75" t="str">
        <x:v>左右へ安定して移動でき、停止時に異常な滑りがない。</x:v>
      </x:c>
      <x:c r="J5" s="75" t="str">
        <x:v>速度等は調整値</x:v>
      </x:c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85" t="str">
        <x:v>T005</x:v>
      </x:c>
      <x:c r="B6" s="85" t="str">
        <x:v>Phase 1</x:v>
      </x:c>
      <x:c r="C6" s="85" t="str">
        <x:v>Player</x:v>
      </x:c>
      <x:c r="D6" s="85" t="str">
        <x:v>高</x:v>
      </x:c>
      <x:c r="E6" s="85" t="str">
        <x:v>未着手</x:v>
      </x:c>
      <x:c r="F6" s="75" t="str">
        <x:v>ジャンプを実装</x:v>
      </x:c>
      <x:c r="G6" s="75" t="str">
        <x:v>Space入力、接地判定、ジャンプ速度を実装する。</x:v>
      </x:c>
      <x:c r="H6" s="75" t="str">
        <x:v>T004</x:v>
      </x:c>
      <x:c r="I6" s="75" t="str">
        <x:v>接地状態からジャンプし、着地後に再ジャンプできる。</x:v>
      </x:c>
      <x:c r="J6" s="75" t="str">
        <x:v>パラメータは仮</x:v>
      </x:c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85" t="str">
        <x:v>T006</x:v>
      </x:c>
      <x:c r="B7" s="85" t="str">
        <x:v>Phase 1</x:v>
      </x:c>
      <x:c r="C7" s="85" t="str">
        <x:v>Collision</x:v>
      </x:c>
      <x:c r="D7" s="85" t="str">
        <x:v>高</x:v>
      </x:c>
      <x:c r="E7" s="85" t="str">
        <x:v>未着手</x:v>
      </x:c>
      <x:c r="F7" s="75" t="str">
        <x:v>地形との基本衝突を実装</x:v>
      </x:c>
      <x:c r="G7" s="75" t="str">
        <x:v>プレイヤーと固定地形の押し戻し・接地判定を作る。</x:v>
      </x:c>
      <x:c r="H7" s="75" t="str">
        <x:v>T004,T005</x:v>
      </x:c>
      <x:c r="I7" s="75" t="str">
        <x:v>床・壁・天井で致命的なめり込みが起きず、床上を歩ける。</x:v>
      </x:c>
      <x:c r="J7" s="75" t="str">
        <x:v>最優先の安定性</x:v>
      </x:c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85" t="str">
        <x:v>T007</x:v>
      </x:c>
      <x:c r="B8" s="85" t="str">
        <x:v>Phase 1</x:v>
      </x:c>
      <x:c r="C8" s="85" t="str">
        <x:v>デバッグ</x:v>
      </x:c>
      <x:c r="D8" s="85" t="str">
        <x:v>中</x:v>
      </x:c>
      <x:c r="E8" s="85" t="str">
        <x:v>未着手</x:v>
      </x:c>
      <x:c r="F8" s="75" t="str">
        <x:v>Collider可視化を用意</x:v>
      </x:c>
      <x:c r="G8" s="75" t="str">
        <x:v>プレイヤー・地形・文房具Colliderをデバッグ描画できるようにする。</x:v>
      </x:c>
      <x:c r="H8" s="75" t="str">
        <x:v>T006</x:v>
      </x:c>
      <x:c r="I8" s="75" t="str">
        <x:v>デバッグ切替で当たり判定形状を確認できる。</x:v>
      </x:c>
      <x:c r="J8" s="75" t="str">
        <x:v>技術検証を効率化</x:v>
      </x:c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85" t="str">
        <x:v>T008</x:v>
      </x:c>
      <x:c r="B9" s="85" t="str">
        <x:v>Phase 2</x:v>
      </x:c>
      <x:c r="C9" s="85" t="str">
        <x:v>Stationery</x:v>
      </x:c>
      <x:c r="D9" s="85" t="str">
        <x:v>高</x:v>
      </x:c>
      <x:c r="E9" s="85" t="str">
        <x:v>未着手</x:v>
      </x:c>
      <x:c r="F9" s="75" t="str">
        <x:v>定規クラスを作る</x:v>
      </x:c>
      <x:c r="G9" s="75" t="str">
        <x:v>位置・回転・サイズ・状態・Colliderを持つ最小定規オブジェクトを作る。</x:v>
      </x:c>
      <x:c r="H9" s="75" t="str">
        <x:v>T002</x:v>
      </x:c>
      <x:c r="I9" s="75" t="str">
        <x:v>定規を1個生成して表示できる。</x:v>
      </x:c>
      <x:c r="J9" s="75" t="str">
        <x:v>まず定規のみ</x:v>
      </x:c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85" t="str">
        <x:v>T009</x:v>
      </x:c>
      <x:c r="B10" s="85" t="str">
        <x:v>Phase 2</x:v>
      </x:c>
      <x:c r="C10" s="85" t="str">
        <x:v>Stationery操作</x:v>
      </x:c>
      <x:c r="D10" s="85" t="str">
        <x:v>高</x:v>
      </x:c>
      <x:c r="E10" s="85" t="str">
        <x:v>未着手</x:v>
      </x:c>
      <x:c r="F10" s="75" t="str">
        <x:v>マウス選択を実装</x:v>
      </x:c>
      <x:c r="G10" s="75" t="str">
        <x:v>未使用定規をクリック/ドラッグで選択できるようにする。</x:v>
      </x:c>
      <x:c r="H10" s="75" t="str">
        <x:v>T008</x:v>
      </x:c>
      <x:c r="I10" s="75" t="str">
        <x:v>マウス位置にある未使用定規だけ選択できる。</x:v>
      </x:c>
      <x:c r="J10" s="75" t="str">
        <x:v>重なり選択は後で調整</x:v>
      </x:c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85" t="str">
        <x:v>T010</x:v>
      </x:c>
      <x:c r="B11" s="85" t="str">
        <x:v>Phase 2</x:v>
      </x:c>
      <x:c r="C11" s="85" t="str">
        <x:v>Stationery操作</x:v>
      </x:c>
      <x:c r="D11" s="85" t="str">
        <x:v>高</x:v>
      </x:c>
      <x:c r="E11" s="85" t="str">
        <x:v>未着手</x:v>
      </x:c>
      <x:c r="F11" s="75" t="str">
        <x:v>定規の移動を実装</x:v>
      </x:c>
      <x:c r="G11" s="75" t="str">
        <x:v>ドラッグ中にカーソルへ追従させる。</x:v>
      </x:c>
      <x:c r="H11" s="75" t="str">
        <x:v>T009</x:v>
      </x:c>
      <x:c r="I11" s="75" t="str">
        <x:v>選択中の定規が意図した位置へ追従する。</x:v>
      </x:c>
      <x:c r="J11" s="75" t="str">
        <x:v>ワールド座標変換に注意</x:v>
      </x:c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85" t="str">
        <x:v>T011</x:v>
      </x:c>
      <x:c r="B12" s="85" t="str">
        <x:v>Phase 2</x:v>
      </x:c>
      <x:c r="C12" s="85" t="str">
        <x:v>Stationery操作</x:v>
      </x:c>
      <x:c r="D12" s="85" t="str">
        <x:v>高</x:v>
      </x:c>
      <x:c r="E12" s="85" t="str">
        <x:v>未着手</x:v>
      </x:c>
      <x:c r="F12" s="75" t="str">
        <x:v>定規の自由回転を実装</x:v>
      </x:c>
      <x:c r="G12" s="75" t="str">
        <x:v>ホイール入力で角度を変更する。</x:v>
      </x:c>
      <x:c r="H12" s="75" t="str">
        <x:v>T008</x:v>
      </x:c>
      <x:c r="I12" s="75" t="str">
        <x:v>任意角度へ回転でき、表示とColliderが一致する。</x:v>
      </x:c>
      <x:c r="J12" s="75" t="str">
        <x:v>刻みは未決定</x:v>
      </x:c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85" t="str">
        <x:v>T012</x:v>
      </x:c>
      <x:c r="B13" s="85" t="str">
        <x:v>Phase 2</x:v>
      </x:c>
      <x:c r="C13" s="85" t="str">
        <x:v>Stationery操作</x:v>
      </x:c>
      <x:c r="D13" s="85" t="str">
        <x:v>高</x:v>
      </x:c>
      <x:c r="E13" s="85" t="str">
        <x:v>未着手</x:v>
      </x:c>
      <x:c r="F13" s="75" t="str">
        <x:v>配置確定を実装</x:v>
      </x:c>
      <x:c r="G13" s="75" t="str">
        <x:v>左クリックで配置を確定し、編集状態から配置状態へ遷移させる。</x:v>
      </x:c>
      <x:c r="H13" s="75" t="str">
        <x:v>T010,T011</x:v>
      </x:c>
      <x:c r="I13" s="75" t="str">
        <x:v>確定後に物理対象として更新される。</x:v>
      </x:c>
      <x:c r="J13" s="75" t="str">
        <x:v>状態遷移を明示</x:v>
      </x:c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85" t="str">
        <x:v>T013</x:v>
      </x:c>
      <x:c r="B14" s="85" t="str">
        <x:v>Phase 2</x:v>
      </x:c>
      <x:c r="C14" s="85" t="str">
        <x:v>Collision</x:v>
      </x:c>
      <x:c r="D14" s="85" t="str">
        <x:v>高</x:v>
      </x:c>
      <x:c r="E14" s="85" t="str">
        <x:v>未着手</x:v>
      </x:c>
      <x:c r="F14" s="75" t="str">
        <x:v>回転定規のOBBを実装/接続</x:v>
      </x:c>
      <x:c r="G14" s="75" t="str">
        <x:v>定規の見た目に追従するOBBを作りPlayerとの衝突に使う。</x:v>
      </x:c>
      <x:c r="H14" s="75" t="str">
        <x:v>T011,T006</x:v>
      </x:c>
      <x:c r="I14" s="75" t="str">
        <x:v>水平・斜め定規の上にプレイヤーが乗れる。</x:v>
      </x:c>
      <x:c r="J14" s="75" t="str">
        <x:v>最重要技術検証</x:v>
      </x:c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85" t="str">
        <x:v>T014</x:v>
      </x:c>
      <x:c r="B15" s="85" t="str">
        <x:v>Phase 2</x:v>
      </x:c>
      <x:c r="C15" s="85" t="str">
        <x:v>技術検証</x:v>
      </x:c>
      <x:c r="D15" s="85" t="str">
        <x:v>高</x:v>
      </x:c>
      <x:c r="E15" s="85" t="str">
        <x:v>未着手</x:v>
      </x:c>
      <x:c r="F15" s="75" t="str">
        <x:v>回転足場テストを通す</x:v>
      </x:c>
      <x:c r="G15" s="75" t="str">
        <x:v>水平/斜め/斜面移動/引っ掛かりを確認する。</x:v>
      </x:c>
      <x:c r="H15" s="75" t="str">
        <x:v>T013</x:v>
      </x:c>
      <x:c r="I15" s="75" t="str">
        <x:v>4条件を満たし、致命的な引っ掛かりがない。</x:v>
      </x:c>
      <x:c r="J15" s="75" t="str">
        <x:v>検証1</x:v>
      </x:c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85" t="str">
        <x:v>T015</x:v>
      </x:c>
      <x:c r="B16" s="85" t="str">
        <x:v>Phase 3</x:v>
      </x:c>
      <x:c r="C16" s="85" t="str">
        <x:v>Physics</x:v>
      </x:c>
      <x:c r="D16" s="85" t="str">
        <x:v>高</x:v>
      </x:c>
      <x:c r="E16" s="85" t="str">
        <x:v>未着手</x:v>
      </x:c>
      <x:c r="F16" s="75" t="str">
        <x:v>動的文房具のVelocityを実装</x:v>
      </x:c>
      <x:c r="G16" s="75" t="str">
        <x:v>位置と速度を用いた更新の基礎を作る。</x:v>
      </x:c>
      <x:c r="H16" s="75" t="str">
        <x:v>T008</x:v>
      </x:c>
      <x:c r="I16" s="75" t="str">
        <x:v>外力なしで速度が更新され、位置へ反映される。</x:v>
      </x:c>
      <x:c r="J16" s="75" t="str">
        <x:v>定規のみ</x:v>
      </x:c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85" t="str">
        <x:v>T016</x:v>
      </x:c>
      <x:c r="B17" s="85" t="str">
        <x:v>Phase 3</x:v>
      </x:c>
      <x:c r="C17" s="85" t="str">
        <x:v>Physics</x:v>
      </x:c>
      <x:c r="D17" s="85" t="str">
        <x:v>高</x:v>
      </x:c>
      <x:c r="E17" s="85" t="str">
        <x:v>未着手</x:v>
      </x:c>
      <x:c r="F17" s="75" t="str">
        <x:v>重力を実装</x:v>
      </x:c>
      <x:c r="G17" s="75" t="str">
        <x:v>配置後の定規へ重力加速度を適用する。</x:v>
      </x:c>
      <x:c r="H17" s="75" t="str">
        <x:v>T015</x:v>
      </x:c>
      <x:c r="I17" s="75" t="str">
        <x:v>空中配置した定規が落下する。</x:v>
      </x:c>
      <x:c r="J17" s="75" t="str">
        <x:v>値は調整可能に</x:v>
      </x:c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85" t="str">
        <x:v>T017</x:v>
      </x:c>
      <x:c r="B18" s="85" t="str">
        <x:v>Phase 3</x:v>
      </x:c>
      <x:c r="C18" s="85" t="str">
        <x:v>Collision</x:v>
      </x:c>
      <x:c r="D18" s="85" t="str">
        <x:v>高</x:v>
      </x:c>
      <x:c r="E18" s="85" t="str">
        <x:v>未着手</x:v>
      </x:c>
      <x:c r="F18" s="75" t="str">
        <x:v>CollisionResultを設計</x:v>
      </x:c>
      <x:c r="G18" s="75" t="str">
        <x:v>IsHit/Normal/PenetrationDepth/必要ならContactPointを返せる形にする。</x:v>
      </x:c>
      <x:c r="H18" s="75" t="str">
        <x:v>T013</x:v>
      </x:c>
      <x:c r="I18" s="75" t="str">
        <x:v>OBB衝突で法線とめり込み量を取得できる。</x:v>
      </x:c>
      <x:c r="J18" s="75" t="str">
        <x:v>Utilityとゲーム固有処理を分離</x:v>
      </x:c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85" t="str">
        <x:v>T018</x:v>
      </x:c>
      <x:c r="B19" s="85" t="str">
        <x:v>Phase 3</x:v>
      </x:c>
      <x:c r="C19" s="85" t="str">
        <x:v>Collision</x:v>
      </x:c>
      <x:c r="D19" s="85" t="str">
        <x:v>高</x:v>
      </x:c>
      <x:c r="E19" s="85" t="str">
        <x:v>未着手</x:v>
      </x:c>
      <x:c r="F19" s="75" t="str">
        <x:v>めり込み解消を実装</x:v>
      </x:c>
      <x:c r="G19" s="75" t="str">
        <x:v>CollisionResultを使って位置補正する。</x:v>
      </x:c>
      <x:c r="H19" s="75" t="str">
        <x:v>T017</x:v>
      </x:c>
      <x:c r="I19" s="75" t="str">
        <x:v>落下した定規が床を突き抜けず停止できる。</x:v>
      </x:c>
      <x:c r="J19" s="75" t="str">
        <x:v>過補正に注意</x:v>
      </x:c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85" t="str">
        <x:v>T019</x:v>
      </x:c>
      <x:c r="B20" s="85" t="str">
        <x:v>Phase 3</x:v>
      </x:c>
      <x:c r="C20" s="85" t="str">
        <x:v>Physics</x:v>
      </x:c>
      <x:c r="D20" s="85" t="str">
        <x:v>高</x:v>
      </x:c>
      <x:c r="E20" s="85" t="str">
        <x:v>未着手</x:v>
      </x:c>
      <x:c r="F20" s="75" t="str">
        <x:v>摩擦を実装</x:v>
      </x:c>
      <x:c r="G20" s="75" t="str">
        <x:v>接触面方向の速度を減衰させる簡易摩擦を追加する。</x:v>
      </x:c>
      <x:c r="H20" s="75" t="str">
        <x:v>T018</x:v>
      </x:c>
      <x:c r="I20" s="75" t="str">
        <x:v>床では止まりやすく、斜面では条件により滑る。</x:v>
      </x:c>
      <x:c r="J20" s="75" t="str">
        <x:v>リアルさより遊びやすさ</x:v>
      </x:c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85" t="str">
        <x:v>T020</x:v>
      </x:c>
      <x:c r="B21" s="85" t="str">
        <x:v>Phase 3</x:v>
      </x:c>
      <x:c r="C21" s="85" t="str">
        <x:v>Physics</x:v>
      </x:c>
      <x:c r="D21" s="85" t="str">
        <x:v>高</x:v>
      </x:c>
      <x:c r="E21" s="85" t="str">
        <x:v>未着手</x:v>
      </x:c>
      <x:c r="F21" s="75" t="str">
        <x:v>回転・角速度を実装</x:v>
      </x:c>
      <x:c r="G21" s="75" t="str">
        <x:v>接触等で定規が回転できる最小処理を作る。</x:v>
      </x:c>
      <x:c r="H21" s="75" t="str">
        <x:v>T018</x:v>
      </x:c>
      <x:c r="I21" s="75" t="str">
        <x:v>支点条件で回転し、異常高速回転が続かない。</x:v>
      </x:c>
      <x:c r="J21" s="75" t="str">
        <x:v>詳細物理は簡易でよい</x:v>
      </x:c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85" t="str">
        <x:v>T021</x:v>
      </x:c>
      <x:c r="B22" s="85" t="str">
        <x:v>Phase 3</x:v>
      </x:c>
      <x:c r="C22" s="85" t="str">
        <x:v>Physics</x:v>
      </x:c>
      <x:c r="D22" s="85" t="str">
        <x:v>中</x:v>
      </x:c>
      <x:c r="E22" s="85" t="str">
        <x:v>未着手</x:v>
      </x:c>
      <x:c r="F22" s="75" t="str">
        <x:v>Sleep判定を実装</x:v>
      </x:c>
      <x:c r="G22" s="75" t="str">
        <x:v>低速度状態が続いた物体の更新を安定化する。</x:v>
      </x:c>
      <x:c r="H22" s="75" t="str">
        <x:v>T018,T019,T020</x:v>
      </x:c>
      <x:c r="I22" s="75" t="str">
        <x:v>静止物体が異常振動を続けない。</x:v>
      </x:c>
      <x:c r="J22" s="75" t="str">
        <x:v>閾値は未決定</x:v>
      </x:c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85" t="str">
        <x:v>T022</x:v>
      </x:c>
      <x:c r="B23" s="85" t="str">
        <x:v>Phase 3</x:v>
      </x:c>
      <x:c r="C23" s="85" t="str">
        <x:v>技術検証</x:v>
      </x:c>
      <x:c r="D23" s="85" t="str">
        <x:v>高</x:v>
      </x:c>
      <x:c r="E23" s="85" t="str">
        <x:v>未着手</x:v>
      </x:c>
      <x:c r="F23" s="75" t="str">
        <x:v>動的文房具テストを通す</x:v>
      </x:c>
      <x:c r="G23" s="75" t="str">
        <x:v>落下/地面停止/斜面滑り/異常振動を確認する。</x:v>
      </x:c>
      <x:c r="H23" s="75" t="str">
        <x:v>T016-T021</x:v>
      </x:c>
      <x:c r="I23" s="75" t="str">
        <x:v>4条件を満たす。</x:v>
      </x:c>
      <x:c r="J23" s="75" t="str">
        <x:v>検証2</x:v>
      </x:c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85" t="str">
        <x:v>T023</x:v>
      </x:c>
      <x:c r="B24" s="85" t="str">
        <x:v>Phase 4</x:v>
      </x:c>
      <x:c r="C24" s="85" t="str">
        <x:v>State</x:v>
      </x:c>
      <x:c r="D24" s="85" t="str">
        <x:v>高</x:v>
      </x:c>
      <x:c r="E24" s="85" t="str">
        <x:v>未着手</x:v>
      </x:c>
      <x:c r="F24" s="75" t="str">
        <x:v>文房具状態enumを実装</x:v>
      </x:c>
      <x:c r="G24" s="75" t="str">
        <x:v>所持/配置未使用/使用済みを明示的に管理する。</x:v>
      </x:c>
      <x:c r="H24" s="75" t="str">
        <x:v>T012</x:v>
      </x:c>
      <x:c r="I24" s="75" t="str">
        <x:v>状態がコード上で追跡できる。</x:v>
      </x:c>
      <x:c r="J24" s="75" t="str">
        <x:v>名称は実装都合で調整可</x:v>
      </x:c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85" t="str">
        <x:v>T024</x:v>
      </x:c>
      <x:c r="B25" s="85" t="str">
        <x:v>Phase 4</x:v>
      </x:c>
      <x:c r="C25" s="85" t="str">
        <x:v>State</x:v>
      </x:c>
      <x:c r="D25" s="85" t="str">
        <x:v>高</x:v>
      </x:c>
      <x:c r="E25" s="85" t="str">
        <x:v>未着手</x:v>
      </x:c>
      <x:c r="F25" s="75" t="str">
        <x:v>Player接触でUSED化</x:v>
      </x:c>
      <x:c r="G25" s="75" t="str">
        <x:v>配置未使用の文房具へPlayerが接触したらUSEDへ遷移する。</x:v>
      </x:c>
      <x:c r="H25" s="75" t="str">
        <x:v>T013,T023</x:v>
      </x:c>
      <x:c r="I25" s="75" t="str">
        <x:v>初回有効接触で1回だけUSEDになる。</x:v>
      </x:c>
      <x:c r="J25" s="75" t="str">
        <x:v>誤接触対策は別TODO</x:v>
      </x:c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85" t="str">
        <x:v>T025</x:v>
      </x:c>
      <x:c r="B26" s="85" t="str">
        <x:v>Phase 4</x:v>
      </x:c>
      <x:c r="C26" s="85" t="str">
        <x:v>Stationery操作</x:v>
      </x:c>
      <x:c r="D26" s="85" t="str">
        <x:v>高</x:v>
      </x:c>
      <x:c r="E26" s="85" t="str">
        <x:v>未着手</x:v>
      </x:c>
      <x:c r="F26" s="75" t="str">
        <x:v>USED後の再操作を禁止</x:v>
      </x:c>
      <x:c r="G26" s="75" t="str">
        <x:v>USED文房具を選択/移動/回転/回収できないようにする。</x:v>
      </x:c>
      <x:c r="H26" s="75" t="str">
        <x:v>T024</x:v>
      </x:c>
      <x:c r="I26" s="75" t="str">
        <x:v>マウス操作でUSED物体を変更できない。</x:v>
      </x:c>
      <x:c r="J26" s="75" t="str">
        <x:v>物理は止めない</x:v>
      </x:c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85" t="str">
        <x:v>T026</x:v>
      </x:c>
      <x:c r="B27" s="85" t="str">
        <x:v>Phase 4</x:v>
      </x:c>
      <x:c r="C27" s="85" t="str">
        <x:v>Physics</x:v>
      </x:c>
      <x:c r="D27" s="85" t="str">
        <x:v>高</x:v>
      </x:c>
      <x:c r="E27" s="85" t="str">
        <x:v>未着手</x:v>
      </x:c>
      <x:c r="F27" s="75" t="str">
        <x:v>USED後も物理継続を確認</x:v>
      </x:c>
      <x:c r="G27" s="75" t="str">
        <x:v>状態がUSEDでも物理更新対象から外さない。</x:v>
      </x:c>
      <x:c r="H27" s="75" t="str">
        <x:v>T025</x:v>
      </x:c>
      <x:c r="I27" s="75" t="str">
        <x:v>USED化後も落下・滑り・回転が継続する。</x:v>
      </x:c>
      <x:c r="J27" s="75" t="str">
        <x:v>固定化しない</x:v>
      </x:c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85" t="str">
        <x:v>T027</x:v>
      </x:c>
      <x:c r="B28" s="85" t="str">
        <x:v>Phase 4</x:v>
      </x:c>
      <x:c r="C28" s="85" t="str">
        <x:v>仕様検証</x:v>
      </x:c>
      <x:c r="D28" s="85" t="str">
        <x:v>高</x:v>
      </x:c>
      <x:c r="E28" s="85" t="str">
        <x:v>未着手</x:v>
      </x:c>
      <x:c r="F28" s="75" t="str">
        <x:v>配置直後の即USED対策を決める</x:v>
      </x:c>
      <x:c r="G28" s="75" t="str">
        <x:v>接触無視時間/非接触後再接触などを試し、採用方式を決定する。</x:v>
      </x:c>
      <x:c r="H28" s="75" t="str">
        <x:v>T024</x:v>
      </x:c>
      <x:c r="I28" s="75" t="str">
        <x:v>配置操作中の意図しない即USEDが再現しない。</x:v>
      </x:c>
      <x:c r="J28" s="75" t="str">
        <x:v>未決定事項</x:v>
      </x:c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85" t="str">
        <x:v>T028</x:v>
      </x:c>
      <x:c r="B29" s="85" t="str">
        <x:v>Phase 5</x:v>
      </x:c>
      <x:c r="C29" s="85" t="str">
        <x:v>Stationery</x:v>
      </x:c>
      <x:c r="D29" s="85" t="str">
        <x:v>高</x:v>
      </x:c>
      <x:c r="E29" s="85" t="str">
        <x:v>未着手</x:v>
      </x:c>
      <x:c r="F29" s="75" t="str">
        <x:v>三角定規を追加</x:v>
      </x:c>
      <x:c r="G29" s="75" t="str">
        <x:v>高さを持つ形状・Collider・動的物理を実装する。</x:v>
      </x:c>
      <x:c r="H29" s="75" t="str">
        <x:v>T022,T023</x:v>
      </x:c>
      <x:c r="I29" s="75" t="str">
        <x:v>坂として乗れ、定規の支えにも使える。</x:v>
      </x:c>
      <x:c r="J29" s="75" t="str">
        <x:v>サイズ等は調整値</x:v>
      </x:c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85" t="str">
        <x:v>T029</x:v>
      </x:c>
      <x:c r="B30" s="85" t="str">
        <x:v>Phase 5</x:v>
      </x:c>
      <x:c r="C30" s="85" t="str">
        <x:v>Stationery</x:v>
      </x:c>
      <x:c r="D30" s="85" t="str">
        <x:v>高</x:v>
      </x:c>
      <x:c r="E30" s="85" t="str">
        <x:v>未着手</x:v>
      </x:c>
      <x:c r="F30" s="75" t="str">
        <x:v>消しゴムを追加</x:v>
      </x:c>
      <x:c r="G30" s="75" t="str">
        <x:v>高摩擦の支えとして動的物理・Colliderを実装する。</x:v>
      </x:c>
      <x:c r="H30" s="75" t="str">
        <x:v>T022,T023</x:v>
      </x:c>
      <x:c r="I30" s="75" t="str">
        <x:v>定規の滑り止めとして機能する。</x:v>
      </x:c>
      <x:c r="J30" s="75" t="str">
        <x:v>摩擦値は調整</x:v>
      </x:c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85" t="str">
        <x:v>T030</x:v>
      </x:c>
      <x:c r="B31" s="85" t="str">
        <x:v>Phase 5</x:v>
      </x:c>
      <x:c r="C31" s="85" t="str">
        <x:v>Collision</x:v>
      </x:c>
      <x:c r="D31" s="85" t="str">
        <x:v>高</x:v>
      </x:c>
      <x:c r="E31" s="85" t="str">
        <x:v>未着手</x:v>
      </x:c>
      <x:c r="F31" s="75" t="str">
        <x:v>文房具同士の衝突を実装</x:v>
      </x:c>
      <x:c r="G31" s="75" t="str">
        <x:v>定規/三角定規/消しゴム間で衝突解決する。</x:v>
      </x:c>
      <x:c r="H31" s="75" t="str">
        <x:v>T028,T029,T017</x:v>
      </x:c>
      <x:c r="I31" s="75" t="str">
        <x:v>相互に致命的なめり込みを起こさない。</x:v>
      </x:c>
      <x:c r="J31" s="75" t="str">
        <x:v>多体物理を複雑化しすぎない</x:v>
      </x:c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85" t="str">
        <x:v>T031</x:v>
      </x:c>
      <x:c r="B32" s="85" t="str">
        <x:v>Phase 5</x:v>
      </x:c>
      <x:c r="C32" s="85" t="str">
        <x:v>技術検証</x:v>
      </x:c>
      <x:c r="D32" s="85" t="str">
        <x:v>高</x:v>
      </x:c>
      <x:c r="E32" s="85" t="str">
        <x:v>未着手</x:v>
      </x:c>
      <x:c r="F32" s="75" t="str">
        <x:v>文房具組み合わせテストを通す</x:v>
      </x:c>
      <x:c r="G32" s="75" t="str">
        <x:v>めり込み/消しゴム支え/単純構造安定性を確認する。</x:v>
      </x:c>
      <x:c r="H32" s="75" t="str">
        <x:v>T030</x:v>
      </x:c>
      <x:c r="I32" s="75" t="str">
        <x:v>3条件を満たす。</x:v>
      </x:c>
      <x:c r="J32" s="75" t="str">
        <x:v>検証3</x:v>
      </x:c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85" t="str">
        <x:v>T032</x:v>
      </x:c>
      <x:c r="B33" s="85" t="str">
        <x:v>Phase 6</x:v>
      </x:c>
      <x:c r="C33" s="85" t="str">
        <x:v>Coin</x:v>
      </x:c>
      <x:c r="D33" s="85" t="str">
        <x:v>高</x:v>
      </x:c>
      <x:c r="E33" s="85" t="str">
        <x:v>未着手</x:v>
      </x:c>
      <x:c r="F33" s="75" t="str">
        <x:v>コインオブジェクトを実装</x:v>
      </x:c>
      <x:c r="G33" s="75" t="str">
        <x:v>ステージ配置、取得判定、取得済みフラグを実装する。</x:v>
      </x:c>
      <x:c r="H33" s="75" t="str">
        <x:v>T001,T006</x:v>
      </x:c>
      <x:c r="I33" s="75" t="str">
        <x:v>接触で1回だけ取得できる。</x:v>
      </x:c>
      <x:c r="J33" s="75" t="str">
        <x:v>有限配置</x:v>
      </x:c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85" t="str">
        <x:v>T033</x:v>
      </x:c>
      <x:c r="B34" s="85" t="str">
        <x:v>Phase 6</x:v>
      </x:c>
      <x:c r="C34" s="85" t="str">
        <x:v>Economy</x:v>
      </x:c>
      <x:c r="D34" s="85" t="str">
        <x:v>高</x:v>
      </x:c>
      <x:c r="E34" s="85" t="str">
        <x:v>未着手</x:v>
      </x:c>
      <x:c r="F34" s="75" t="str">
        <x:v>所持コイン管理を実装</x:v>
      </x:c>
      <x:c r="G34" s="75" t="str">
        <x:v>Player/Stageの所持コイン値を管理する。</x:v>
      </x:c>
      <x:c r="H34" s="75" t="str">
        <x:v>T032</x:v>
      </x:c>
      <x:c r="I34" s="75" t="str">
        <x:v>取得/購入で値が正しく増減する。</x:v>
      </x:c>
      <x:c r="J34" s="75" t="str">
        <x:v>残機購入には使わない</x:v>
      </x:c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85" t="str">
        <x:v>T034</x:v>
      </x:c>
      <x:c r="B35" s="85" t="str">
        <x:v>Phase 6</x:v>
      </x:c>
      <x:c r="C35" s="85" t="str">
        <x:v>UI</x:v>
      </x:c>
      <x:c r="D35" s="85" t="str">
        <x:v>高</x:v>
      </x:c>
      <x:c r="E35" s="85" t="str">
        <x:v>未着手</x:v>
      </x:c>
      <x:c r="F35" s="75" t="str">
        <x:v>常時購入UIを実装</x:v>
      </x:c>
      <x:c r="G35" s="75" t="str">
        <x:v>4文房具の購入ボタンと価格、所持コインを表示する。</x:v>
      </x:c>
      <x:c r="H35" s="75" t="str">
        <x:v>T033</x:v>
      </x:c>
      <x:c r="I35" s="75" t="str">
        <x:v>ゲームを止めずに常時表示・操作できる。</x:v>
      </x:c>
      <x:c r="J35" s="75" t="str">
        <x:v>具体配置は未決定</x:v>
      </x:c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85" t="str">
        <x:v>T035</x:v>
      </x:c>
      <x:c r="B36" s="85" t="str">
        <x:v>Phase 6</x:v>
      </x:c>
      <x:c r="C36" s="85" t="str">
        <x:v>Purchase</x:v>
      </x:c>
      <x:c r="D36" s="85" t="str">
        <x:v>高</x:v>
      </x:c>
      <x:c r="E36" s="85" t="str">
        <x:v>未着手</x:v>
      </x:c>
      <x:c r="F36" s="75" t="str">
        <x:v>購入可否判定を実装</x:v>
      </x:c>
      <x:c r="G36" s="75" t="str">
        <x:v>価格と所持コインを比較し、足りる時だけ購入開始する。</x:v>
      </x:c>
      <x:c r="H36" s="75" t="str">
        <x:v>T034</x:v>
      </x:c>
      <x:c r="I36" s="75" t="str">
        <x:v>不足時はコインも物体も変化しない。</x:v>
      </x:c>
      <x:c r="J36" s="75" t="str">
        <x:v>価格は仮値で開始可</x:v>
      </x:c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85" t="str">
        <x:v>T036</x:v>
      </x:c>
      <x:c r="B37" s="85" t="str">
        <x:v>Phase 6</x:v>
      </x:c>
      <x:c r="C37" s="85" t="str">
        <x:v>Purchase</x:v>
      </x:c>
      <x:c r="D37" s="85" t="str">
        <x:v>高</x:v>
      </x:c>
      <x:c r="E37" s="85" t="str">
        <x:v>未着手</x:v>
      </x:c>
      <x:c r="F37" s="75" t="str">
        <x:v>購入物をカーソルへ付ける</x:v>
      </x:c>
      <x:c r="G37" s="75" t="str">
        <x:v>購入後、配置確定前のプレビュー状態にする。</x:v>
      </x:c>
      <x:c r="H37" s="75" t="str">
        <x:v>T035</x:v>
      </x:c>
      <x:c r="I37" s="75" t="str">
        <x:v>購入した文房具がカーソル追従する。</x:v>
      </x:c>
      <x:c r="J37" s="75" t="str">
        <x:v>プレビュー表現は簡易で可</x:v>
      </x:c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85" t="str">
        <x:v>T037</x:v>
      </x:c>
      <x:c r="B38" s="85" t="str">
        <x:v>Phase 6</x:v>
      </x:c>
      <x:c r="C38" s="85" t="str">
        <x:v>Purchase</x:v>
      </x:c>
      <x:c r="D38" s="85" t="str">
        <x:v>高</x:v>
      </x:c>
      <x:c r="E38" s="85" t="str">
        <x:v>未着手</x:v>
      </x:c>
      <x:c r="F38" s="75" t="str">
        <x:v>購入確定を実装</x:v>
      </x:c>
      <x:c r="G38" s="75" t="str">
        <x:v>左クリックで配置確定し、購入状態を終了する。</x:v>
      </x:c>
      <x:c r="H38" s="75" t="str">
        <x:v>T036</x:v>
      </x:c>
      <x:c r="I38" s="75" t="str">
        <x:v>確定後に文房具がステージへ残る。</x:v>
      </x:c>
      <x:c r="J38" s="75" t="str">
        <x:v>多重確定防止</x:v>
      </x:c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85" t="str">
        <x:v>T038</x:v>
      </x:c>
      <x:c r="B39" s="85" t="str">
        <x:v>Phase 6</x:v>
      </x:c>
      <x:c r="C39" s="85" t="str">
        <x:v>Purchase</x:v>
      </x:c>
      <x:c r="D39" s="85" t="str">
        <x:v>中</x:v>
      </x:c>
      <x:c r="E39" s="85" t="str">
        <x:v>未着手</x:v>
      </x:c>
      <x:c r="F39" s="75" t="str">
        <x:v>購入キャンセルと返金を実装</x:v>
      </x:c>
      <x:c r="G39" s="75" t="str">
        <x:v>配置前の右クリックでキャンセルしコインを返す。</x:v>
      </x:c>
      <x:c r="H39" s="75" t="str">
        <x:v>T036</x:v>
      </x:c>
      <x:c r="I39" s="75" t="str">
        <x:v>キャンセル後の所持コインが購入前と一致する。</x:v>
      </x:c>
      <x:c r="J39" s="75" t="str">
        <x:v>仮決定仕様</x:v>
      </x:c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85" t="str">
        <x:v>T039</x:v>
      </x:c>
      <x:c r="B40" s="85" t="str">
        <x:v>Phase 6</x:v>
      </x:c>
      <x:c r="C40" s="85" t="str">
        <x:v>仕様調整</x:v>
      </x:c>
      <x:c r="D40" s="85" t="str">
        <x:v>中</x:v>
      </x:c>
      <x:c r="E40" s="85" t="str">
        <x:v>未着手</x:v>
      </x:c>
      <x:c r="F40" s="75" t="str">
        <x:v>文房具価格の初期値を決める</x:v>
      </x:c>
      <x:c r="G40" s="75" t="str">
        <x:v>4種の役割差が出る仮価格を設定し、調整可能データ化する。</x:v>
      </x:c>
      <x:c r="H40" s="75" t="str">
        <x:v>T034-T038</x:v>
      </x:c>
      <x:c r="I40" s="75" t="str">
        <x:v>コード修正なしで価格変更できる。</x:v>
      </x:c>
      <x:c r="J40" s="75" t="str">
        <x:v>最終値は未決定</x:v>
      </x:c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85" t="str">
        <x:v>T040</x:v>
      </x:c>
      <x:c r="B41" s="85" t="str">
        <x:v>Phase 7</x:v>
      </x:c>
      <x:c r="C41" s="85" t="str">
        <x:v>Pencil</x:v>
      </x:c>
      <x:c r="D41" s="85" t="str">
        <x:v>高</x:v>
      </x:c>
      <x:c r="E41" s="85" t="str">
        <x:v>未着手</x:v>
      </x:c>
      <x:c r="F41" s="75" t="str">
        <x:v>鉛筆描画モードを実装</x:v>
      </x:c>
      <x:c r="G41" s="75" t="str">
        <x:v>購入後に左ドラッグで軌跡点を収集する。</x:v>
      </x:c>
      <x:c r="H41" s="75" t="str">
        <x:v>T034,T035</x:v>
      </x:c>
      <x:c r="I41" s="75" t="str">
        <x:v>押下中だけ点列が増える。</x:v>
      </x:c>
      <x:c r="J41" s="75" t="str">
        <x:v>入力競合に注意</x:v>
      </x:c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85" t="str">
        <x:v>T041</x:v>
      </x:c>
      <x:c r="B42" s="85" t="str">
        <x:v>Phase 7</x:v>
      </x:c>
      <x:c r="C42" s="85" t="str">
        <x:v>Pencil</x:v>
      </x:c>
      <x:c r="D42" s="85" t="str">
        <x:v>高</x:v>
      </x:c>
      <x:c r="E42" s="85" t="str">
        <x:v>未着手</x:v>
      </x:c>
      <x:c r="F42" s="75" t="str">
        <x:v>線補間/生成方式を決める</x:v>
      </x:c>
      <x:c r="G42" s="75" t="str">
        <x:v>点列から描画線とCollider生成に使うデータ形式を決定する。</x:v>
      </x:c>
      <x:c r="H42" s="75" t="str">
        <x:v>T040</x:v>
      </x:c>
      <x:c r="I42" s="75" t="str">
        <x:v>低速/高速マウス移動でも線が途切れすぎない。</x:v>
      </x:c>
      <x:c r="J42" s="75" t="str">
        <x:v>未決定事項</x:v>
      </x:c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85" t="str">
        <x:v>T042</x:v>
      </x:c>
      <x:c r="B43" s="85" t="str">
        <x:v>Phase 7</x:v>
      </x:c>
      <x:c r="C43" s="85" t="str">
        <x:v>Pencil</x:v>
      </x:c>
      <x:c r="D43" s="85" t="str">
        <x:v>高</x:v>
      </x:c>
      <x:c r="E43" s="85" t="str">
        <x:v>未着手</x:v>
      </x:c>
      <x:c r="F43" s="75" t="str">
        <x:v>総描画距離を計算</x:v>
      </x:c>
      <x:c r="G43" s="75" t="str">
        <x:v>隣接点間距離を累積し、鉛筆残量を消費する。</x:v>
      </x:c>
      <x:c r="H43" s="75" t="str">
        <x:v>T040</x:v>
      </x:c>
      <x:c r="I43" s="75" t="str">
        <x:v>描いた実距離に応じて残量が減る。</x:v>
      </x:c>
      <x:c r="J43" s="75" t="str">
        <x:v>複数ストロークで累積</x:v>
      </x:c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85" t="str">
        <x:v>T043</x:v>
      </x:c>
      <x:c r="B44" s="85" t="str">
        <x:v>Phase 7</x:v>
      </x:c>
      <x:c r="C44" s="85" t="str">
        <x:v>Pencil</x:v>
      </x:c>
      <x:c r="D44" s="85" t="str">
        <x:v>高</x:v>
      </x:c>
      <x:c r="E44" s="85" t="str">
        <x:v>未着手</x:v>
      </x:c>
      <x:c r="F44" s="75" t="str">
        <x:v>残量0制御を実装</x:v>
      </x:c>
      <x:c r="G44" s="75" t="str">
        <x:v>残量不足時は追加線を生成しない。</x:v>
      </x:c>
      <x:c r="H44" s="75" t="str">
        <x:v>T042</x:v>
      </x:c>
      <x:c r="I44" s="75" t="str">
        <x:v>0以下で描画不能になり、負値にならない。</x:v>
      </x:c>
      <x:c r="J44" s="75" t="str">
        <x:v>新規購入で再描画可</x:v>
      </x:c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85" t="str">
        <x:v>T044</x:v>
      </x:c>
      <x:c r="B45" s="85" t="str">
        <x:v>Phase 7</x:v>
      </x:c>
      <x:c r="C45" s="85" t="str">
        <x:v>Pencil</x:v>
      </x:c>
      <x:c r="D45" s="85" t="str">
        <x:v>高</x:v>
      </x:c>
      <x:c r="E45" s="85" t="str">
        <x:v>未着手</x:v>
      </x:c>
      <x:c r="F45" s="75" t="str">
        <x:v>静的線Colliderを生成</x:v>
      </x:c>
      <x:c r="G45" s="75" t="str">
        <x:v>確定した鉛筆線をステージ固定Colliderとして生成する。</x:v>
      </x:c>
      <x:c r="H45" s="75" t="str">
        <x:v>T041</x:v>
      </x:c>
      <x:c r="I45" s="75" t="str">
        <x:v>線上をPlayerが歩け、線自体は動かない。</x:v>
      </x:c>
      <x:c r="J45" s="75" t="str">
        <x:v>線太さは未決定</x:v>
      </x:c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85" t="str">
        <x:v>T045</x:v>
      </x:c>
      <x:c r="B46" s="85" t="str">
        <x:v>Phase 7</x:v>
      </x:c>
      <x:c r="C46" s="85" t="str">
        <x:v>UI</x:v>
      </x:c>
      <x:c r="D46" s="85" t="str">
        <x:v>中</x:v>
      </x:c>
      <x:c r="E46" s="85" t="str">
        <x:v>未着手</x:v>
      </x:c>
      <x:c r="F46" s="75" t="str">
        <x:v>鉛筆残量UIを追加</x:v>
      </x:c>
      <x:c r="G46" s="75" t="str">
        <x:v>選択/所持中の鉛筆残量を確認できる表示を作る。</x:v>
      </x:c>
      <x:c r="H46" s="75" t="str">
        <x:v>T042</x:v>
      </x:c>
      <x:c r="I46" s="75" t="str">
        <x:v>残量変化が画面に反映される。</x:v>
      </x:c>
      <x:c r="J46" s="75" t="str">
        <x:v>配置は未決定</x:v>
      </x:c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85" t="str">
        <x:v>T046</x:v>
      </x:c>
      <x:c r="B47" s="85" t="str">
        <x:v>Phase 7</x:v>
      </x:c>
      <x:c r="C47" s="85" t="str">
        <x:v>仕様検討</x:v>
      </x:c>
      <x:c r="D47" s="85" t="str">
        <x:v>中</x:v>
      </x:c>
      <x:c r="E47" s="85" t="str">
        <x:v>未着手</x:v>
      </x:c>
      <x:c r="F47" s="75" t="str">
        <x:v>鉛筆編集ルールを決める</x:v>
      </x:c>
      <x:c r="G47" s="75" t="str">
        <x:v>ストローク削除、描き直し、残量返却の有無を決定する。</x:v>
      </x:c>
      <x:c r="H47" s="75" t="str">
        <x:v>T040-T044</x:v>
      </x:c>
      <x:c r="I47" s="75" t="str">
        <x:v>操作ルールが仕様として1案に確定する。</x:v>
      </x:c>
      <x:c r="J47" s="75" t="str">
        <x:v>未決定事項</x:v>
      </x:c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85" t="str">
        <x:v>T047</x:v>
      </x:c>
      <x:c r="B48" s="85" t="str">
        <x:v>Phase 8</x:v>
      </x:c>
      <x:c r="C48" s="85" t="str">
        <x:v>Life</x:v>
      </x:c>
      <x:c r="D48" s="85" t="str">
        <x:v>高</x:v>
      </x:c>
      <x:c r="E48" s="85" t="str">
        <x:v>未着手</x:v>
      </x:c>
      <x:c r="F48" s="75" t="str">
        <x:v>残機3を実装</x:v>
      </x:c>
      <x:c r="G48" s="75" t="str">
        <x:v>Stage開始時3、ミスで1減る管理を実装する。</x:v>
      </x:c>
      <x:c r="H48" s="75" t="str">
        <x:v>T001</x:v>
      </x:c>
      <x:c r="I48" s="75" t="str">
        <x:v>開始時3で、共通Missから1ずつ減る。</x:v>
      </x:c>
      <x:c r="J48" s="75" t="str">
        <x:v>1UPなし</x:v>
      </x:c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85" t="str">
        <x:v>T048</x:v>
      </x:c>
      <x:c r="B49" s="85" t="str">
        <x:v>Phase 8</x:v>
      </x:c>
      <x:c r="C49" s="85" t="str">
        <x:v>Miss</x:v>
      </x:c>
      <x:c r="D49" s="85" t="str">
        <x:v>高</x:v>
      </x:c>
      <x:c r="E49" s="85" t="str">
        <x:v>未着手</x:v>
      </x:c>
      <x:c r="F49" s="75" t="str">
        <x:v>危険判定を実装</x:v>
      </x:c>
      <x:c r="G49" s="75" t="str">
        <x:v>危険物/死亡境界の共通トリガーを用意する。</x:v>
      </x:c>
      <x:c r="H49" s="75" t="str">
        <x:v>T006,T047</x:v>
      </x:c>
      <x:c r="I49" s="75" t="str">
        <x:v>危険接触・画面外落下でMissイベントが発生する。</x:v>
      </x:c>
      <x:c r="J49" s="75" t="str">
        <x:v>落下ダメージなし</x:v>
      </x:c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85" t="str">
        <x:v>T049</x:v>
      </x:c>
      <x:c r="B50" s="85" t="str">
        <x:v>Phase 8</x:v>
      </x:c>
      <x:c r="C50" s="85" t="str">
        <x:v>Miss</x:v>
      </x:c>
      <x:c r="D50" s="85" t="str">
        <x:v>高</x:v>
      </x:c>
      <x:c r="E50" s="85" t="str">
        <x:v>未着手</x:v>
      </x:c>
      <x:c r="F50" s="75" t="str">
        <x:v>共通Miss処理を実装</x:v>
      </x:c>
      <x:c r="G50" s="75" t="str">
        <x:v>敵/危険/落下から同じMissフローへ入る。</x:v>
      </x:c>
      <x:c r="H50" s="75" t="str">
        <x:v>T047,T048</x:v>
      </x:c>
      <x:c r="I50" s="75" t="str">
        <x:v>どの原因でも残機-1→復帰判定になる。</x:v>
      </x:c>
      <x:c r="J50" s="75" t="str">
        <x:v>敵はPhase11で接続</x:v>
      </x:c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85" t="str">
        <x:v>T050</x:v>
      </x:c>
      <x:c r="B51" s="85" t="str">
        <x:v>Phase 9</x:v>
      </x:c>
      <x:c r="C51" s="85" t="str">
        <x:v>Checkpoint</x:v>
      </x:c>
      <x:c r="D51" s="85" t="str">
        <x:v>高</x:v>
      </x:c>
      <x:c r="E51" s="85" t="str">
        <x:v>未着手</x:v>
      </x:c>
      <x:c r="F51" s="75" t="str">
        <x:v>Snapshotデータ構造を設計</x:v>
      </x:c>
      <x:c r="G51" s="75" t="str">
        <x:v>復活位置、コイン、文房具、鉛筆線、進行状態を保存可能にする。</x:v>
      </x:c>
      <x:c r="H51" s="75" t="str">
        <x:v>T032-T049</x:v>
      </x:c>
      <x:c r="I51" s="75" t="str">
        <x:v>保存対象を1つのSnapshotとして保持できる。</x:v>
      </x:c>
      <x:c r="J51" s="75" t="str">
        <x:v>残機は含めない</x:v>
      </x:c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85" t="str">
        <x:v>T051</x:v>
      </x:c>
      <x:c r="B52" s="85" t="str">
        <x:v>Phase 9</x:v>
      </x:c>
      <x:c r="C52" s="85" t="str">
        <x:v>Checkpoint</x:v>
      </x:c>
      <x:c r="D52" s="85" t="str">
        <x:v>高</x:v>
      </x:c>
      <x:c r="E52" s="85" t="str">
        <x:v>未着手</x:v>
      </x:c>
      <x:c r="F52" s="75" t="str">
        <x:v>チェックポイント取得を実装</x:v>
      </x:c>
      <x:c r="G52" s="75" t="str">
        <x:v>CP接触時にSnapshotを更新する。</x:v>
      </x:c>
      <x:c r="H52" s="75" t="str">
        <x:v>T050</x:v>
      </x:c>
      <x:c r="I52" s="75" t="str">
        <x:v>最後に通過したCPの状態が保持される。</x:v>
      </x:c>
      <x:c r="J52" s="75" t="str">
        <x:v>演出は後回し可</x:v>
      </x:c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85" t="str">
        <x:v>T052</x:v>
      </x:c>
      <x:c r="B53" s="85" t="str">
        <x:v>Phase 9</x:v>
      </x:c>
      <x:c r="C53" s="85" t="str">
        <x:v>Checkpoint</x:v>
      </x:c>
      <x:c r="D53" s="85" t="str">
        <x:v>高</x:v>
      </x:c>
      <x:c r="E53" s="85" t="str">
        <x:v>未着手</x:v>
      </x:c>
      <x:c r="F53" s="75" t="str">
        <x:v>コイン状態の保存/復元</x:v>
      </x:c>
      <x:c r="G53" s="75" t="str">
        <x:v>所持数と各コイン取得済み状態をSnapshot化する。</x:v>
      </x:c>
      <x:c r="H53" s="75" t="str">
        <x:v>T050,T032,T033</x:v>
      </x:c>
      <x:c r="I53" s="75" t="str">
        <x:v>CP後取得コインが復帰で再出現し、所持数も戻る。</x:v>
      </x:c>
      <x:c r="J53" s="75" t="str">
        <x:v>個体識別が必要</x:v>
      </x:c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85" t="str">
        <x:v>T053</x:v>
      </x:c>
      <x:c r="B54" s="85" t="str">
        <x:v>Phase 9</x:v>
      </x:c>
      <x:c r="C54" s="85" t="str">
        <x:v>Checkpoint</x:v>
      </x:c>
      <x:c r="D54" s="85" t="str">
        <x:v>高</x:v>
      </x:c>
      <x:c r="E54" s="85" t="str">
        <x:v>未着手</x:v>
      </x:c>
      <x:c r="F54" s="75" t="str">
        <x:v>文房具状態の保存/復元</x:v>
      </x:c>
      <x:c r="G54" s="75" t="str">
        <x:v>生成数、種類、位置、角度、USED状態等を保存する。</x:v>
      </x:c>
      <x:c r="H54" s="75" t="str">
        <x:v>T050,T023,T030</x:v>
      </x:c>
      <x:c r="I54" s="75" t="str">
        <x:v>CP後の購入/移動/USED化が復帰で元に戻る。</x:v>
      </x:c>
      <x:c r="J54" s="75" t="str">
        <x:v>速度保存は別判断</x:v>
      </x:c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85" t="str">
        <x:v>T054</x:v>
      </x:c>
      <x:c r="B55" s="85" t="str">
        <x:v>Phase 9</x:v>
      </x:c>
      <x:c r="C55" s="85" t="str">
        <x:v>Checkpoint</x:v>
      </x:c>
      <x:c r="D55" s="85" t="str">
        <x:v>高</x:v>
      </x:c>
      <x:c r="E55" s="85" t="str">
        <x:v>未着手</x:v>
      </x:c>
      <x:c r="F55" s="75" t="str">
        <x:v>鉛筆線の保存/復元</x:v>
      </x:c>
      <x:c r="G55" s="75" t="str">
        <x:v>ストロークと残量をSnapshotへ含める。</x:v>
      </x:c>
      <x:c r="H55" s="75" t="str">
        <x:v>T050,T044</x:v>
      </x:c>
      <x:c r="I55" s="75" t="str">
        <x:v>CP後に描いた線が復帰で消え、残量も戻る。</x:v>
      </x:c>
      <x:c r="J55" s="75" t="str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85" t="str">
        <x:v>T055</x:v>
      </x:c>
      <x:c r="B56" s="85" t="str">
        <x:v>Phase 9</x:v>
      </x:c>
      <x:c r="C56" s="85" t="str">
        <x:v>Checkpoint</x:v>
      </x:c>
      <x:c r="D56" s="85" t="str">
        <x:v>高</x:v>
      </x:c>
      <x:c r="E56" s="85" t="str">
        <x:v>未着手</x:v>
      </x:c>
      <x:c r="F56" s="75" t="str">
        <x:v>残機をSnapshotから分離</x:v>
      </x:c>
      <x:c r="G56" s="75" t="str">
        <x:v>復元時にLife値を上書きしない。</x:v>
      </x:c>
      <x:c r="H56" s="75" t="str">
        <x:v>T047,T050</x:v>
      </x:c>
      <x:c r="I56" s="75" t="str">
        <x:v>ミス後復帰しても減った残機が戻らない。</x:v>
      </x:c>
      <x:c r="J56" s="75" t="str">
        <x:v>重要</x:v>
      </x:c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85" t="str">
        <x:v>T056</x:v>
      </x:c>
      <x:c r="B57" s="85" t="str">
        <x:v>Phase 9</x:v>
      </x:c>
      <x:c r="C57" s="85" t="str">
        <x:v>Checkpoint</x:v>
      </x:c>
      <x:c r="D57" s="85" t="str">
        <x:v>中</x:v>
      </x:c>
      <x:c r="E57" s="85" t="str">
        <x:v>未着手</x:v>
      </x:c>
      <x:c r="F57" s="75" t="str">
        <x:v>速度/角速度保存方式を検証</x:v>
      </x:c>
      <x:c r="G57" s="75" t="str">
        <x:v>保存する/0初期化する/安定状態化する等を比較する。</x:v>
      </x:c>
      <x:c r="H57" s="75" t="str">
        <x:v>T053</x:v>
      </x:c>
      <x:c r="I57" s="75" t="str">
        <x:v>復元直後に物理破綻しない方式を決定する。</x:v>
      </x:c>
      <x:c r="J57" s="75" t="str">
        <x:v>未決定事項</x:v>
      </x:c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85" t="str">
        <x:v>T057</x:v>
      </x:c>
      <x:c r="B58" s="85" t="str">
        <x:v>Phase 9</x:v>
      </x:c>
      <x:c r="C58" s="85" t="str">
        <x:v>Checkpoint</x:v>
      </x:c>
      <x:c r="D58" s="85" t="str">
        <x:v>中</x:v>
      </x:c>
      <x:c r="E58" s="85" t="str">
        <x:v>未着手</x:v>
      </x:c>
      <x:c r="F58" s="75" t="str">
        <x:v>復元直後の連続ミス対策を決める</x:v>
      </x:c>
      <x:c r="G58" s="75" t="str">
        <x:v>無敵時間や安全位置調整の要否を検証する。</x:v>
      </x:c>
      <x:c r="H58" s="75" t="str">
        <x:v>T051,T049</x:v>
      </x:c>
      <x:c r="I58" s="75" t="str">
        <x:v>復元直後の不可避な即死ループが起きない。</x:v>
      </x:c>
      <x:c r="J58" s="75" t="str">
        <x:v>未決定事項</x:v>
      </x:c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85" t="str">
        <x:v>T058</x:v>
      </x:c>
      <x:c r="B59" s="85" t="str">
        <x:v>Phase 10</x:v>
      </x:c>
      <x:c r="C59" s="85" t="str">
        <x:v>Retry</x:v>
      </x:c>
      <x:c r="D59" s="85" t="str">
        <x:v>高</x:v>
      </x:c>
      <x:c r="E59" s="85" t="str">
        <x:v>未着手</x:v>
      </x:c>
      <x:c r="F59" s="75" t="str">
        <x:v>R長押し入力を実装</x:v>
      </x:c>
      <x:c r="G59" s="75" t="str">
        <x:v>押下時間を計測し、閾値到達でリトライ要求を出す。</x:v>
      </x:c>
      <x:c r="H59" s="75" t="str">
        <x:v>T051</x:v>
      </x:c>
      <x:c r="I59" s="75" t="str">
        <x:v>短押しでは発動せず、長押しで発動する。</x:v>
      </x:c>
      <x:c r="J59" s="75" t="str">
        <x:v>秒数は仮値</x:v>
      </x:c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85" t="str">
        <x:v>T059</x:v>
      </x:c>
      <x:c r="B60" s="85" t="str">
        <x:v>Phase 10</x:v>
      </x:c>
      <x:c r="C60" s="85" t="str">
        <x:v>UI</x:v>
      </x:c>
      <x:c r="D60" s="85" t="str">
        <x:v>中</x:v>
      </x:c>
      <x:c r="E60" s="85" t="str">
        <x:v>未着手</x:v>
      </x:c>
      <x:c r="F60" s="75" t="str">
        <x:v>リトライゲージを実装</x:v>
      </x:c>
      <x:c r="G60" s="75" t="str">
        <x:v>長押し進捗を画面へ表示する。</x:v>
      </x:c>
      <x:c r="H60" s="75" t="str">
        <x:v>T058</x:v>
      </x:c>
      <x:c r="I60" s="75" t="str">
        <x:v>押下時間に比例してゲージが増える。</x:v>
      </x:c>
      <x:c r="J60" s="75" t="str">
        <x:v>配置は未決定</x:v>
      </x:c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85" t="str">
        <x:v>T060</x:v>
      </x:c>
      <x:c r="B61" s="85" t="str">
        <x:v>Phase 10</x:v>
      </x:c>
      <x:c r="C61" s="85" t="str">
        <x:v>Retry</x:v>
      </x:c>
      <x:c r="D61" s="85" t="str">
        <x:v>高</x:v>
      </x:c>
      <x:c r="E61" s="85" t="str">
        <x:v>未着手</x:v>
      </x:c>
      <x:c r="F61" s="75" t="str">
        <x:v>手動リトライ復元を接続</x:v>
      </x:c>
      <x:c r="G61" s="75" t="str">
        <x:v>Snapshot復元を呼び、残機を減らさない。</x:v>
      </x:c>
      <x:c r="H61" s="75" t="str">
        <x:v>T058,T050-T055</x:v>
      </x:c>
      <x:c r="I61" s="75" t="str">
        <x:v>CP状態へ戻り、残機が変わらない。</x:v>
      </x:c>
      <x:c r="J61" s="75" t="str">
        <x:v>Miss復帰と処理共有</x:v>
      </x:c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85" t="str">
        <x:v>T061</x:v>
      </x:c>
      <x:c r="B62" s="85" t="str">
        <x:v>Phase 11</x:v>
      </x:c>
      <x:c r="C62" s="85" t="str">
        <x:v>Enemy</x:v>
      </x:c>
      <x:c r="D62" s="85" t="str">
        <x:v>高</x:v>
      </x:c>
      <x:c r="E62" s="85" t="str">
        <x:v>未着手</x:v>
      </x:c>
      <x:c r="F62" s="75" t="str">
        <x:v>敵基本移動を実装</x:v>
      </x:c>
      <x:c r="G62" s="75" t="str">
        <x:v>まず単純な往復など最小AIで動く障害物を作る。</x:v>
      </x:c>
      <x:c r="H62" s="75" t="str">
        <x:v>T001,T006</x:v>
      </x:c>
      <x:c r="I62" s="75" t="str">
        <x:v>ステージ上を安定して移動する。</x:v>
      </x:c>
      <x:c r="J62" s="75" t="str">
        <x:v>種類/AIは未決定</x:v>
      </x:c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85" t="str">
        <x:v>T062</x:v>
      </x:c>
      <x:c r="B63" s="85" t="str">
        <x:v>Phase 11</x:v>
      </x:c>
      <x:c r="C63" s="85" t="str">
        <x:v>Enemy</x:v>
      </x:c>
      <x:c r="D63" s="85" t="str">
        <x:v>高</x:v>
      </x:c>
      <x:c r="E63" s="85" t="str">
        <x:v>未着手</x:v>
      </x:c>
      <x:c r="F63" s="75" t="str">
        <x:v>Player接触でMissを発生</x:v>
      </x:c>
      <x:c r="G63" s="75" t="str">
        <x:v>敵接触から共通Miss処理へ接続する。</x:v>
      </x:c>
      <x:c r="H63" s="75" t="str">
        <x:v>T061,T049</x:v>
      </x:c>
      <x:c r="I63" s="75" t="str">
        <x:v>敵接触で1ミスになり、復帰処理へ進む。</x:v>
      </x:c>
      <x:c r="J63" s="75" t="str">
        <x:v>攻撃/HPなし</x:v>
      </x:c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85" t="str">
        <x:v>T063</x:v>
      </x:c>
      <x:c r="B64" s="85" t="str">
        <x:v>Phase 11</x:v>
      </x:c>
      <x:c r="C64" s="85" t="str">
        <x:v>仕様検討</x:v>
      </x:c>
      <x:c r="D64" s="85" t="str">
        <x:v>高</x:v>
      </x:c>
      <x:c r="E64" s="85" t="str">
        <x:v>未着手</x:v>
      </x:c>
      <x:c r="F64" s="75" t="str">
        <x:v>敵×文房具衝突を検証・決定</x:v>
      </x:c>
      <x:c r="G64" s="75" t="str">
        <x:v>衝突ON/OFFを比較し、閉じ込め/武器化への影響を確認する。</x:v>
      </x:c>
      <x:c r="H64" s="75" t="str">
        <x:v>T030,T061</x:v>
      </x:c>
      <x:c r="I64" s="75" t="str">
        <x:v>採用案と禁止/許容挙動が文章で確定する。</x:v>
      </x:c>
      <x:c r="J64" s="75" t="str">
        <x:v>未決定事項</x:v>
      </x:c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85" t="str">
        <x:v>T064</x:v>
      </x:c>
      <x:c r="B65" s="85" t="str">
        <x:v>Phase 11</x:v>
      </x:c>
      <x:c r="C65" s="85" t="str">
        <x:v>Checkpoint</x:v>
      </x:c>
      <x:c r="D65" s="85" t="str">
        <x:v>中</x:v>
      </x:c>
      <x:c r="E65" s="85" t="str">
        <x:v>未着手</x:v>
      </x:c>
      <x:c r="F65" s="75" t="str">
        <x:v>敵状態の復元方式を決める</x:v>
      </x:c>
      <x:c r="G65" s="75" t="str">
        <x:v>敵位置/向き/AI状態をどこまでSnapshot化するか決定する。</x:v>
      </x:c>
      <x:c r="H65" s="75" t="str">
        <x:v>T050,T061</x:v>
      </x:c>
      <x:c r="I65" s="75" t="str">
        <x:v>復元後の敵挙動が不自然にならない方式を確定する。</x:v>
      </x:c>
      <x:c r="J65" s="75" t="str">
        <x:v>未決定事項</x:v>
      </x:c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85" t="str">
        <x:v>T065</x:v>
      </x:c>
      <x:c r="B66" s="85" t="str">
        <x:v>Phase 12</x:v>
      </x:c>
      <x:c r="C66" s="85" t="str">
        <x:v>GameOver</x:v>
      </x:c>
      <x:c r="D66" s="85" t="str">
        <x:v>高</x:v>
      </x:c>
      <x:c r="E66" s="85" t="str">
        <x:v>未着手</x:v>
      </x:c>
      <x:c r="F66" s="75" t="str">
        <x:v>残機0のGameOver遷移を実装</x:v>
      </x:c>
      <x:c r="G66" s="75" t="str">
        <x:v>Miss後に残機0ならGameOverへ遷移する。</x:v>
      </x:c>
      <x:c r="H66" s="75" t="str">
        <x:v>T049,T047</x:v>
      </x:c>
      <x:c r="I66" s="75" t="str">
        <x:v>残機0でCP復帰せずGameOverへ進む。</x:v>
      </x:c>
      <x:c r="J66" s="75" t="str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85" t="str">
        <x:v>T066</x:v>
      </x:c>
      <x:c r="B67" s="85" t="str">
        <x:v>Phase 12</x:v>
      </x:c>
      <x:c r="C67" s="85" t="str">
        <x:v>GameOver</x:v>
      </x:c>
      <x:c r="D67" s="85" t="str">
        <x:v>高</x:v>
      </x:c>
      <x:c r="E67" s="85" t="str">
        <x:v>未着手</x:v>
      </x:c>
      <x:c r="F67" s="75" t="str">
        <x:v>ステージ完全リセットを実装</x:v>
      </x:c>
      <x:c r="G67" s="75" t="str">
        <x:v>CP記録を破棄し、コイン/文房具/鉛筆線/進行を開始状態へ戻し残機3にする。</x:v>
      </x:c>
      <x:c r="H67" s="75" t="str">
        <x:v>T065,T050</x:v>
      </x:c>
      <x:c r="I67" s="75" t="str">
        <x:v>再開時の状態がステージ初期状態と一致する。</x:v>
      </x:c>
      <x:c r="J67" s="75" t="str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85" t="str">
        <x:v>T067</x:v>
      </x:c>
      <x:c r="B68" s="85" t="str">
        <x:v>Phase 12</x:v>
      </x:c>
      <x:c r="C68" s="85" t="str">
        <x:v>Clear</x:v>
      </x:c>
      <x:c r="D68" s="85" t="str">
        <x:v>高</x:v>
      </x:c>
      <x:c r="E68" s="85" t="str">
        <x:v>未着手</x:v>
      </x:c>
      <x:c r="F68" s="75" t="str">
        <x:v>ゴール判定を実装</x:v>
      </x:c>
      <x:c r="G68" s="75" t="str">
        <x:v>ゴール接触等でStage Clearへ遷移する最小処理を作る。</x:v>
      </x:c>
      <x:c r="H68" s="75" t="str">
        <x:v>T001</x:v>
      </x:c>
      <x:c r="I68" s="75" t="str">
        <x:v>ゴール条件達成でCLEAR状態へ遷移する。</x:v>
      </x:c>
      <x:c r="J68" s="75" t="str">
        <x:v>ゴール形式は未決定</x:v>
      </x:c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85" t="str">
        <x:v>T068</x:v>
      </x:c>
      <x:c r="B69" s="85" t="str">
        <x:v>Phase 12</x:v>
      </x:c>
      <x:c r="C69" s="85" t="str">
        <x:v>UI</x:v>
      </x:c>
      <x:c r="D69" s="85" t="str">
        <x:v>中</x:v>
      </x:c>
      <x:c r="E69" s="85" t="str">
        <x:v>未着手</x:v>
      </x:c>
      <x:c r="F69" s="75" t="str">
        <x:v>GameOver/Clear最低限表示を作る</x:v>
      </x:c>
      <x:c r="G69" s="75" t="str">
        <x:v>状態遷移が分かる簡易画面/表示を用意する。</x:v>
      </x:c>
      <x:c r="H69" s="75" t="str">
        <x:v>T065,T067</x:v>
      </x:c>
      <x:c r="I69" s="75" t="str">
        <x:v>GameOverとClearを画面で判別できる。</x:v>
      </x:c>
      <x:c r="J69" s="75" t="str">
        <x:v>演出詳細は後</x:v>
      </x:c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85" t="str">
        <x:v>T069</x:v>
      </x:c>
      <x:c r="B70" s="85" t="str">
        <x:v>Phase 13</x:v>
      </x:c>
      <x:c r="C70" s="85" t="str">
        <x:v>Stage</x:v>
      </x:c>
      <x:c r="D70" s="85" t="str">
        <x:v>高</x:v>
      </x:c>
      <x:c r="E70" s="85" t="str">
        <x:v>未着手</x:v>
      </x:c>
      <x:c r="F70" s="75" t="str">
        <x:v>チュートリアル区間を設計</x:v>
      </x:c>
      <x:c r="G70" s="75" t="str">
        <x:v>移動→定規→回転→USED→購入→鉛筆等を段階的に学べる構成を検討する。</x:v>
      </x:c>
      <x:c r="H70" s="75" t="str">
        <x:v>Phase1-12</x:v>
      </x:c>
      <x:c r="I70" s="75" t="str">
        <x:v>説明なしでも基本操作を順に体験できる。</x:v>
      </x:c>
      <x:c r="J70" s="75" t="str">
        <x:v>構成は未決定</x:v>
      </x:c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85" t="str">
        <x:v>T070</x:v>
      </x:c>
      <x:c r="B71" s="85" t="str">
        <x:v>Phase 13</x:v>
      </x:c>
      <x:c r="C71" s="85" t="str">
        <x:v>Stage</x:v>
      </x:c>
      <x:c r="D71" s="85" t="str">
        <x:v>高</x:v>
      </x:c>
      <x:c r="E71" s="85" t="str">
        <x:v>未着手</x:v>
      </x:c>
      <x:c r="F71" s="75" t="str">
        <x:v>複数解の障害を作る</x:v>
      </x:c>
      <x:c r="G71" s="75" t="str">
        <x:v>同一障害を定規/組み合わせ/鉛筆等で突破できるよう設計する。</x:v>
      </x:c>
      <x:c r="H71" s="75" t="str">
        <x:v>T031,T044,T039</x:v>
      </x:c>
      <x:c r="I71" s="75" t="str">
        <x:v>実用的な攻略が2通り以上確認できる。</x:v>
      </x:c>
      <x:c r="J71" s="75" t="str">
        <x:v>想定解固定を避ける</x:v>
      </x:c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85" t="str">
        <x:v>T071</x:v>
      </x:c>
      <x:c r="B72" s="85" t="str">
        <x:v>Phase 13</x:v>
      </x:c>
      <x:c r="C72" s="85" t="str">
        <x:v>Balance</x:v>
      </x:c>
      <x:c r="D72" s="85" t="str">
        <x:v>中</x:v>
      </x:c>
      <x:c r="E72" s="85" t="str">
        <x:v>未着手</x:v>
      </x:c>
      <x:c r="F72" s="75" t="str">
        <x:v>コイン量と価格を調整</x:v>
      </x:c>
      <x:c r="G72" s="75" t="str">
        <x:v>全取得必須にせず、工夫すれば余るバランスへ調整する。</x:v>
      </x:c>
      <x:c r="H72" s="75" t="str">
        <x:v>T039,T070</x:v>
      </x:c>
      <x:c r="I72" s="75" t="str">
        <x:v>標準プレイで詰まず、節約プレイでは余剰が出る。</x:v>
      </x:c>
      <x:c r="J72" s="75" t="str">
        <x:v>プレイテスト</x:v>
      </x:c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85" t="str">
        <x:v>T072</x:v>
      </x:c>
      <x:c r="B73" s="85" t="str">
        <x:v>Phase 13</x:v>
      </x:c>
      <x:c r="C73" s="85" t="str">
        <x:v>Balance</x:v>
      </x:c>
      <x:c r="D73" s="85" t="str">
        <x:v>中</x:v>
      </x:c>
      <x:c r="E73" s="85" t="str">
        <x:v>未着手</x:v>
      </x:c>
      <x:c r="F73" s="75" t="str">
        <x:v>ステージ長/CP間隔を調整</x:v>
      </x:c>
      <x:c r="G73" s="75" t="str">
        <x:v>GameOverのやり直し負荷を見ながら区間長を調整する。</x:v>
      </x:c>
      <x:c r="H73" s="75" t="str">
        <x:v>T051,T066,T070</x:v>
      </x:c>
      <x:c r="I73" s="75" t="str">
        <x:v>GameOver時に『長すぎる』と感じる区間を削減できる。</x:v>
      </x:c>
      <x:c r="J73" s="75" t="str">
        <x:v>数値はテストで決定</x:v>
      </x:c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85" t="str">
        <x:v>T073</x:v>
      </x:c>
      <x:c r="B74" s="85" t="str">
        <x:v>Phase 13</x:v>
      </x:c>
      <x:c r="C74" s="85" t="str">
        <x:v>UI</x:v>
      </x:c>
      <x:c r="D74" s="85" t="str">
        <x:v>中</x:v>
      </x:c>
      <x:c r="E74" s="85" t="str">
        <x:v>未着手</x:v>
      </x:c>
      <x:c r="F74" s="75" t="str">
        <x:v>HUDレイアウトを確定</x:v>
      </x:c>
      <x:c r="G74" s="75" t="str">
        <x:v>コイン、残機、価格、鉛筆残量、USED、リトライ等の配置を決める。</x:v>
      </x:c>
      <x:c r="H74" s="75" t="str">
        <x:v>T034,T045,T059</x:v>
      </x:c>
      <x:c r="I74" s="75" t="str">
        <x:v>プレイを邪魔せず必要情報が確認できる。</x:v>
      </x:c>
      <x:c r="J74" s="75" t="str">
        <x:v>未決定事項</x:v>
      </x:c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85" t="str">
        <x:v>T074</x:v>
      </x:c>
      <x:c r="B75" s="85" t="str">
        <x:v>Phase 13</x:v>
      </x:c>
      <x:c r="C75" s="85" t="str">
        <x:v>QA</x:v>
      </x:c>
      <x:c r="D75" s="85" t="str">
        <x:v>高</x:v>
      </x:c>
      <x:c r="E75" s="85" t="str">
        <x:v>未着手</x:v>
      </x:c>
      <x:c r="F75" s="75" t="str">
        <x:v>復帰系統の統合テスト</x:v>
      </x:c>
      <x:c r="G75" s="75" t="str">
        <x:v>手動Retry/通常Miss/GameOverの3ケースを比較確認する。</x:v>
      </x:c>
      <x:c r="H75" s="75" t="str">
        <x:v>T060,T062,T066</x:v>
      </x:c>
      <x:c r="I75" s="75" t="str">
        <x:v>残機・戻る場所・ステージ状態が仕様表と一致する。</x:v>
      </x:c>
      <x:c r="J75" s="75" t="str">
        <x:v>重要</x:v>
      </x:c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85" t="str">
        <x:v>T075</x:v>
      </x:c>
      <x:c r="B76" s="85" t="str">
        <x:v>Phase 13</x:v>
      </x:c>
      <x:c r="C76" s="85" t="str">
        <x:v>QA</x:v>
      </x:c>
      <x:c r="D76" s="85" t="str">
        <x:v>高</x:v>
      </x:c>
      <x:c r="E76" s="85" t="str">
        <x:v>未着手</x:v>
      </x:c>
      <x:c r="F76" s="75" t="str">
        <x:v>リアルタイム同時操作テスト</x:v>
      </x:c>
      <x:c r="G76" s="75" t="str">
        <x:v>Player移動中の購入/ドラッグ/回転/鉛筆描画を確認する。</x:v>
      </x:c>
      <x:c r="H76" s="75" t="str">
        <x:v>T034,T040</x:v>
      </x:c>
      <x:c r="I76" s="75" t="str">
        <x:v>文房具操作中もゲーム更新が止まらず、入力破綻がない。</x:v>
      </x:c>
      <x:c r="J76" s="75" t="str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85" t="str">
        <x:v>T076</x:v>
      </x:c>
      <x:c r="B77" s="85" t="str">
        <x:v>Phase 13</x:v>
      </x:c>
      <x:c r="C77" s="85" t="str">
        <x:v>QA</x:v>
      </x:c>
      <x:c r="D77" s="85" t="str">
        <x:v>高</x:v>
      </x:c>
      <x:c r="E77" s="85" t="str">
        <x:v>未着手</x:v>
      </x:c>
      <x:c r="F77" s="75" t="str">
        <x:v>再現性テスト</x:v>
      </x:c>
      <x:c r="G77" s="75" t="str">
        <x:v>同じ配置・入力条件で結果が大きくぶれないか複数回確認する。</x:v>
      </x:c>
      <x:c r="H77" s="75" t="str">
        <x:v>T022,T031</x:v>
      </x:c>
      <x:c r="I77" s="75" t="str">
        <x:v>致命的なランダム挙動や異常振動が常態化しない。</x:v>
      </x:c>
      <x:c r="J77" s="75" t="str">
        <x:v>物理リアリティより優先</x:v>
      </x:c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85" t="str">
        <x:v>T077</x:v>
      </x:c>
      <x:c r="B78" s="85" t="str">
        <x:v>Phase 13</x:v>
      </x:c>
      <x:c r="C78" s="85" t="str">
        <x:v>設計</x:v>
      </x:c>
      <x:c r="D78" s="85" t="str">
        <x:v>中</x:v>
      </x:c>
      <x:c r="E78" s="85" t="str">
        <x:v>未着手</x:v>
      </x:c>
      <x:c r="F78" s="75" t="str">
        <x:v>未決定項目を最終棚卸し</x:v>
      </x:c>
      <x:c r="G78" s="75" t="str">
        <x:v>未決定・仮決定項目をプレイテスト結果と合わせて更新する。</x:v>
      </x:c>
      <x:c r="H78" s="75" t="str">
        <x:v>全Phase</x:v>
      </x:c>
      <x:c r="I78" s="75" t="str">
        <x:v>発売/提出対象の仕様に未処理の重大未決定が残っていない。</x:v>
      </x:c>
      <x:c r="J78" s="75" t="str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conditionalFormatting sqref="E2:E78">
    <x:cfRule type="expression" dxfId="4" priority="1">
      <x:formula>E2="完了"</x:formula>
    </x:cfRule>
    <x:cfRule type="expression" dxfId="5" priority="2">
      <x:formula>E2="進行中"</x:formula>
    </x:cfRule>
    <x:cfRule type="expression" dxfId="6" priority="3">
      <x:formula>E2="確認待ち"</x:formula>
    </x:cfRule>
    <x:cfRule type="expression" dxfId="7" priority="4">
      <x:formula>E2="保留"</x:formula>
    </x:cfRule>
  </x:conditionalFormatting>
  <x:conditionalFormatting sqref="D2:D78">
    <x:cfRule type="expression" dxfId="8" priority="5">
      <x:formula>D2="高"</x:formula>
    </x:cfRule>
  </x:conditionalFormatting>
  <x:dataValidations count="2">
    <x:dataValidation type="list" sqref="D2:D78">
      <x:formula1>"高,中,低"</x:formula1>
    </x:dataValidation>
    <x:dataValidation type="list" sqref="E2:E78">
      <x:formula1>"未着手,進行中,確認待ち,完了,保留"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f72f71ba2841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6" hidden="0" customWidth="1"/>
    <x:col min="4" max="4" width="28" hidden="0" customWidth="1"/>
    <x:col min="5" max="5" width="22" hidden="0" customWidth="1"/>
    <x:col min="6" max="6" width="46" hidden="0" customWidth="1"/>
    <x:col min="7" max="7" width="12" hidden="0" customWidth="1"/>
    <x:col min="8" max="8" width="14" hidden="0" customWidth="1"/>
  </x:cols>
  <x:sheetData>
    <x:row r="1">
      <x:c r="A1" s="83" t="str">
        <x:v>未決定事項</x:v>
      </x:c>
      <x:c r="B1" s="83"/>
      <x:c r="C1" s="83"/>
      <x:c r="D1" s="83"/>
      <x:c r="E1" s="83"/>
      <x:c r="F1" s="83"/>
      <x:c r="G1" s="83"/>
      <x:c r="H1" s="83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</x:row>
    <x:row r="3">
      <x:c r="A3" s="78" t="str">
        <x:v>ID</x:v>
      </x:c>
      <x:c r="B3" s="78" t="str">
        <x:v>カテゴリ</x:v>
      </x:c>
      <x:c r="C3" s="78" t="str">
        <x:v>未決定項目</x:v>
      </x:c>
      <x:c r="D3" s="78" t="str">
        <x:v>影響するシステム</x:v>
      </x:c>
      <x:c r="E3" s="78" t="str">
        <x:v>決定タイミング</x:v>
      </x:c>
      <x:c r="F3" s="78" t="str">
        <x:v>判断・検証方法</x:v>
      </x:c>
      <x:c r="G3" s="78" t="str">
        <x:v>状態</x:v>
      </x:c>
      <x:c r="H3" s="78" t="str">
        <x:v>参照章</x:v>
      </x:c>
      <x:c r="I3" s="60"/>
      <x:c r="J3" s="60"/>
      <x:c r="K3" s="60"/>
      <x:c r="L3" s="60"/>
      <x:c r="M3" s="60"/>
      <x:c r="N3" s="60"/>
      <x:c r="O3" s="60"/>
      <x:c r="P3" s="60"/>
      <x:c r="Q3" s="60"/>
      <x:c r="R3" s="60"/>
      <x:c r="S3" s="60"/>
      <x:c r="T3" s="60"/>
      <x:c r="U3" s="60"/>
      <x:c r="V3" s="60"/>
      <x:c r="W3" s="60"/>
      <x:c r="X3" s="60"/>
      <x:c r="Y3" s="60"/>
      <x:c r="Z3" s="60"/>
    </x:row>
    <x:row r="4">
      <x:c r="A4" s="63" t="str">
        <x:v>U001</x:v>
      </x:c>
      <x:c r="B4" s="63" t="str">
        <x:v>文房具パラメータ</x:v>
      </x:c>
      <x:c r="C4" s="75" t="str">
        <x:v>各文房具の価格</x:v>
      </x:c>
      <x:c r="D4" s="75" t="str">
        <x:v>Economy / Purchase / Stage</x:v>
      </x:c>
      <x:c r="E4" s="75" t="str">
        <x:v>Phase 6～13</x:v>
      </x:c>
      <x:c r="F4" s="75" t="str">
        <x:v>仮価格で実装し、複数解とコイン余剰が成立するよう調整</x:v>
      </x:c>
      <x:c r="G4" s="75" t="str">
        <x:v>未決定</x:v>
      </x:c>
      <x:c r="H4" s="75" t="str">
        <x:v>41.1</x:v>
      </x:c>
      <x:c r="I4" s="60"/>
      <x:c r="J4" s="60"/>
      <x:c r="K4" s="60"/>
      <x:c r="L4" s="60"/>
      <x:c r="M4" s="60"/>
      <x:c r="N4" s="60"/>
      <x:c r="O4" s="60"/>
      <x:c r="P4" s="60"/>
      <x:c r="Q4" s="60"/>
      <x:c r="R4" s="60"/>
      <x:c r="S4" s="60"/>
      <x:c r="T4" s="60"/>
      <x:c r="U4" s="60"/>
      <x:c r="V4" s="60"/>
      <x:c r="W4" s="60"/>
      <x:c r="X4" s="60"/>
      <x:c r="Y4" s="60"/>
      <x:c r="Z4" s="60"/>
    </x:row>
    <x:row r="5">
      <x:c r="A5" s="63" t="str">
        <x:v>U002</x:v>
      </x:c>
      <x:c r="B5" s="63" t="str">
        <x:v>文房具パラメータ</x:v>
      </x:c>
      <x:c r="C5" s="75" t="str">
        <x:v>各文房具のサイズ</x:v>
      </x:c>
      <x:c r="D5" s="75" t="str">
        <x:v>Stationery / Collision / Stage</x:v>
      </x:c>
      <x:c r="E5" s="75" t="str">
        <x:v>Phase 2～5</x:v>
      </x:c>
      <x:c r="F5" s="75" t="str">
        <x:v>定規の回転足場と組み合わせテスト後に調整</x:v>
      </x:c>
      <x:c r="G5" s="75" t="str">
        <x:v>未決定</x:v>
      </x:c>
      <x:c r="H5" s="75" t="str">
        <x:v>41.1</x:v>
      </x:c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0"/>
      <x:c r="Z5" s="60"/>
    </x:row>
    <x:row r="6">
      <x:c r="A6" s="63" t="str">
        <x:v>U003</x:v>
      </x:c>
      <x:c r="B6" s="63" t="str">
        <x:v>文房具パラメータ</x:v>
      </x:c>
      <x:c r="C6" s="75" t="str">
        <x:v>重量</x:v>
      </x:c>
      <x:c r="D6" s="75" t="str">
        <x:v>Physics</x:v>
      </x:c>
      <x:c r="E6" s="75" t="str">
        <x:v>Phase 3～5</x:v>
      </x:c>
      <x:c r="F6" s="75" t="str">
        <x:v>落下・押され方・回転の分かりやすさを比較</x:v>
      </x:c>
      <x:c r="G6" s="75" t="str">
        <x:v>未決定</x:v>
      </x:c>
      <x:c r="H6" s="75" t="str">
        <x:v>41.1</x:v>
      </x:c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0"/>
      <x:c r="Z6" s="60"/>
    </x:row>
    <x:row r="7">
      <x:c r="A7" s="63" t="str">
        <x:v>U004</x:v>
      </x:c>
      <x:c r="B7" s="63" t="str">
        <x:v>文房具パラメータ</x:v>
      </x:c>
      <x:c r="C7" s="75" t="str">
        <x:v>摩擦係数</x:v>
      </x:c>
      <x:c r="D7" s="75" t="str">
        <x:v>Physics / Eraser</x:v>
      </x:c>
      <x:c r="E7" s="75" t="str">
        <x:v>Phase 3～5</x:v>
      </x:c>
      <x:c r="F7" s="75" t="str">
        <x:v>定規の滑りと消しゴムの支え性能で調整</x:v>
      </x:c>
      <x:c r="G7" s="75" t="str">
        <x:v>未決定</x:v>
      </x:c>
      <x:c r="H7" s="75" t="str">
        <x:v>41.1</x:v>
      </x:c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0"/>
      <x:c r="Z7" s="60"/>
    </x:row>
    <x:row r="8">
      <x:c r="A8" s="63" t="str">
        <x:v>U005</x:v>
      </x:c>
      <x:c r="B8" s="63" t="str">
        <x:v>文房具パラメータ</x:v>
      </x:c>
      <x:c r="C8" s="75" t="str">
        <x:v>回転しやすさ</x:v>
      </x:c>
      <x:c r="D8" s="75" t="str">
        <x:v>Physics</x:v>
      </x:c>
      <x:c r="E8" s="75" t="str">
        <x:v>Phase 3</x:v>
      </x:c>
      <x:c r="F8" s="75" t="str">
        <x:v>接触での回転量と操作の再現性を比較</x:v>
      </x:c>
      <x:c r="G8" s="75" t="str">
        <x:v>未決定</x:v>
      </x:c>
      <x:c r="H8" s="75" t="str">
        <x:v>41.1</x:v>
      </x:c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0"/>
      <x:c r="Z8" s="60"/>
    </x:row>
    <x:row r="9">
      <x:c r="A9" s="63" t="str">
        <x:v>U006</x:v>
      </x:c>
      <x:c r="B9" s="63" t="str">
        <x:v>文房具パラメータ</x:v>
      </x:c>
      <x:c r="C9" s="75" t="str">
        <x:v>Sleep条件</x:v>
      </x:c>
      <x:c r="D9" s="75" t="str">
        <x:v>Physics</x:v>
      </x:c>
      <x:c r="E9" s="75" t="str">
        <x:v>Phase 3</x:v>
      </x:c>
      <x:c r="F9" s="75" t="str">
        <x:v>異常振動を止めつつ必要な動きを殺さない閾値を測る</x:v>
      </x:c>
      <x:c r="G9" s="75" t="str">
        <x:v>未決定</x:v>
      </x:c>
      <x:c r="H9" s="75" t="str">
        <x:v>41.1</x:v>
      </x:c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</x:row>
    <x:row r="10">
      <x:c r="A10" s="63" t="str">
        <x:v>U007</x:v>
      </x:c>
      <x:c r="B10" s="63" t="str">
        <x:v>鉛筆</x:v>
      </x:c>
      <x:c r="C10" s="75" t="str">
        <x:v>総描画距離</x:v>
      </x:c>
      <x:c r="D10" s="75" t="str">
        <x:v>Pencil / Economy</x:v>
      </x:c>
      <x:c r="E10" s="75" t="str">
        <x:v>Phase 7～13</x:v>
      </x:c>
      <x:c r="F10" s="75" t="str">
        <x:v>1障害で使える自由度と価格の釣り合いで調整</x:v>
      </x:c>
      <x:c r="G10" s="75" t="str">
        <x:v>未決定</x:v>
      </x:c>
      <x:c r="H10" s="75" t="str">
        <x:v>11.4,41.5</x:v>
      </x:c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</x:row>
    <x:row r="11">
      <x:c r="A11" s="63" t="str">
        <x:v>U008</x:v>
      </x:c>
      <x:c r="B11" s="63" t="str">
        <x:v>鉛筆</x:v>
      </x:c>
      <x:c r="C11" s="75" t="str">
        <x:v>線の太さ</x:v>
      </x:c>
      <x:c r="D11" s="75" t="str">
        <x:v>Pencil / Collision</x:v>
      </x:c>
      <x:c r="E11" s="75" t="str">
        <x:v>Phase 7</x:v>
      </x:c>
      <x:c r="F11" s="75" t="str">
        <x:v>歩きやすさと見た目の一致を比較</x:v>
      </x:c>
      <x:c r="G11" s="75" t="str">
        <x:v>未決定</x:v>
      </x:c>
      <x:c r="H11" s="75" t="str">
        <x:v>11.4,41.5</x:v>
      </x:c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  <x:row r="12">
      <x:c r="A12" s="63" t="str">
        <x:v>U009</x:v>
      </x:c>
      <x:c r="B12" s="63" t="str">
        <x:v>Player</x:v>
      </x:c>
      <x:c r="C12" s="75" t="str">
        <x:v>移動速度・加速度</x:v>
      </x:c>
      <x:c r="D12" s="75" t="str">
        <x:v>Player / Stage</x:v>
      </x:c>
      <x:c r="E12" s="75" t="str">
        <x:v>Phase 1～13</x:v>
      </x:c>
      <x:c r="F12" s="75" t="str">
        <x:v>操作感と障害設計の両面で調整</x:v>
      </x:c>
      <x:c r="G12" s="75" t="str">
        <x:v>未決定</x:v>
      </x:c>
      <x:c r="H12" s="75" t="str">
        <x:v>41.2</x:v>
      </x:c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</x:row>
    <x:row r="13">
      <x:c r="A13" s="63" t="str">
        <x:v>U010</x:v>
      </x:c>
      <x:c r="B13" s="63" t="str">
        <x:v>Player</x:v>
      </x:c>
      <x:c r="C13" s="75" t="str">
        <x:v>ジャンプ力・重力</x:v>
      </x:c>
      <x:c r="D13" s="75" t="str">
        <x:v>Player / Stage</x:v>
      </x:c>
      <x:c r="E13" s="75" t="str">
        <x:v>Phase 1～13</x:v>
      </x:c>
      <x:c r="F13" s="75" t="str">
        <x:v>文房具を無視して飛び越せない範囲で調整</x:v>
      </x:c>
      <x:c r="G13" s="75" t="str">
        <x:v>未決定</x:v>
      </x:c>
      <x:c r="H13" s="75" t="str">
        <x:v>41.2</x:v>
      </x:c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0"/>
      <x:c r="Z13" s="60"/>
    </x:row>
    <x:row r="14">
      <x:c r="A14" s="63" t="str">
        <x:v>U011</x:v>
      </x:c>
      <x:c r="B14" s="63" t="str">
        <x:v>Player</x:v>
      </x:c>
      <x:c r="C14" s="75" t="str">
        <x:v>空中制御</x:v>
      </x:c>
      <x:c r="D14" s="75" t="str">
        <x:v>Player</x:v>
      </x:c>
      <x:c r="E14" s="75" t="str">
        <x:v>Phase 1～13</x:v>
      </x:c>
      <x:c r="F14" s="75" t="str">
        <x:v>斜め足場上での扱いやすさを比較</x:v>
      </x:c>
      <x:c r="G14" s="75" t="str">
        <x:v>未決定</x:v>
      </x:c>
      <x:c r="H14" s="75" t="str">
        <x:v>41.2</x:v>
      </x:c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0"/>
      <x:c r="Z14" s="60"/>
    </x:row>
    <x:row r="15">
      <x:c r="A15" s="63" t="str">
        <x:v>U012</x:v>
      </x:c>
      <x:c r="B15" s="63" t="str">
        <x:v>Player</x:v>
      </x:c>
      <x:c r="C15" s="75" t="str">
        <x:v>文房具上の摩擦</x:v>
      </x:c>
      <x:c r="D15" s="75" t="str">
        <x:v>Player / Physics</x:v>
      </x:c>
      <x:c r="E15" s="75" t="str">
        <x:v>Phase 2～5</x:v>
      </x:c>
      <x:c r="F15" s="75" t="str">
        <x:v>斜面を自然に歩ける範囲を検証</x:v>
      </x:c>
      <x:c r="G15" s="75" t="str">
        <x:v>未決定</x:v>
      </x:c>
      <x:c r="H15" s="75" t="str">
        <x:v>41.2</x:v>
      </x:c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0"/>
      <x:c r="Z15" s="60"/>
    </x:row>
    <x:row r="16">
      <x:c r="A16" s="63" t="str">
        <x:v>U013</x:v>
      </x:c>
      <x:c r="B16" s="63" t="str">
        <x:v>UI</x:v>
      </x:c>
      <x:c r="C16" s="75" t="str">
        <x:v>HUD具体配置</x:v>
      </x:c>
      <x:c r="D16" s="75" t="str">
        <x:v>UI</x:v>
      </x:c>
      <x:c r="E16" s="75" t="str">
        <x:v>Phase 6～13</x:v>
      </x:c>
      <x:c r="F16" s="75" t="str">
        <x:v>プレイ視認性を邪魔しない位置を実機確認</x:v>
      </x:c>
      <x:c r="G16" s="75" t="str">
        <x:v>未決定</x:v>
      </x:c>
      <x:c r="H16" s="75" t="str">
        <x:v>41.3</x:v>
      </x:c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0"/>
      <x:c r="Z16" s="60"/>
    </x:row>
    <x:row r="17">
      <x:c r="A17" s="63" t="str">
        <x:v>U014</x:v>
      </x:c>
      <x:c r="B17" s="63" t="str">
        <x:v>UI</x:v>
      </x:c>
      <x:c r="C17" s="75" t="str">
        <x:v>USED表示</x:v>
      </x:c>
      <x:c r="D17" s="75" t="str">
        <x:v>UI / StationeryState</x:v>
      </x:c>
      <x:c r="E17" s="75" t="str">
        <x:v>Phase 4～13</x:v>
      </x:c>
      <x:c r="F17" s="75" t="str">
        <x:v>色・アイコン・文字などを比較</x:v>
      </x:c>
      <x:c r="G17" s="75" t="str">
        <x:v>未決定</x:v>
      </x:c>
      <x:c r="H17" s="75" t="str">
        <x:v>41.3</x:v>
      </x:c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0"/>
      <x:c r="Z17" s="60"/>
    </x:row>
    <x:row r="18">
      <x:c r="A18" s="63" t="str">
        <x:v>U015</x:v>
      </x:c>
      <x:c r="B18" s="63" t="str">
        <x:v>UI</x:v>
      </x:c>
      <x:c r="C18" s="75" t="str">
        <x:v>チェックポイント演出</x:v>
      </x:c>
      <x:c r="D18" s="75" t="str">
        <x:v>UI / Checkpoint</x:v>
      </x:c>
      <x:c r="E18" s="75" t="str">
        <x:v>Phase 9～13</x:v>
      </x:c>
      <x:c r="F18" s="75" t="str">
        <x:v>保存されたことが分かる最小演出を検討</x:v>
      </x:c>
      <x:c r="G18" s="75" t="str">
        <x:v>未決定</x:v>
      </x:c>
      <x:c r="H18" s="75" t="str">
        <x:v>41.3,41.7</x:v>
      </x:c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0"/>
      <x:c r="Z18" s="60"/>
    </x:row>
    <x:row r="19">
      <x:c r="A19" s="63" t="str">
        <x:v>U016</x:v>
      </x:c>
      <x:c r="B19" s="63" t="str">
        <x:v>文房具操作</x:v>
      </x:c>
      <x:c r="C19" s="75" t="str">
        <x:v>回転速度・刻み</x:v>
      </x:c>
      <x:c r="D19" s="75" t="str">
        <x:v>Stationery操作</x:v>
      </x:c>
      <x:c r="E19" s="75" t="str">
        <x:v>Phase 2</x:v>
      </x:c>
      <x:c r="F19" s="75" t="str">
        <x:v>細かい角度調整と素早い回転の両立をテスト</x:v>
      </x:c>
      <x:c r="G19" s="75" t="str">
        <x:v>未決定</x:v>
      </x:c>
      <x:c r="H19" s="75" t="str">
        <x:v>41.4</x:v>
      </x:c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0"/>
      <x:c r="Z19" s="60"/>
    </x:row>
    <x:row r="20">
      <x:c r="A20" s="63" t="str">
        <x:v>U017</x:v>
      </x:c>
      <x:c r="B20" s="63" t="str">
        <x:v>文房具操作</x:v>
      </x:c>
      <x:c r="C20" s="75" t="str">
        <x:v>配置可能範囲</x:v>
      </x:c>
      <x:c r="D20" s="75" t="str">
        <x:v>Stationery操作 / Stage</x:v>
      </x:c>
      <x:c r="E20" s="75" t="str">
        <x:v>Phase 2～13</x:v>
      </x:c>
      <x:c r="F20" s="75" t="str">
        <x:v>自由度を損なわず画面外悪用を防ぐ必要があるか検証</x:v>
      </x:c>
      <x:c r="G20" s="75" t="str">
        <x:v>未決定</x:v>
      </x:c>
      <x:c r="H20" s="75" t="str">
        <x:v>41.4</x:v>
      </x:c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0"/>
      <x:c r="Z20" s="60"/>
    </x:row>
    <x:row r="21">
      <x:c r="A21" s="63" t="str">
        <x:v>U018</x:v>
      </x:c>
      <x:c r="B21" s="63" t="str">
        <x:v>文房具操作</x:v>
      </x:c>
      <x:c r="C21" s="75" t="str">
        <x:v>カメラ外配置可否</x:v>
      </x:c>
      <x:c r="D21" s="75" t="str">
        <x:v>Stationery操作 / Camera</x:v>
      </x:c>
      <x:c r="E21" s="75" t="str">
        <x:v>Phase 2～13</x:v>
      </x:c>
      <x:c r="F21" s="75" t="str">
        <x:v>見えない位置への配置が攻略を壊すか確認</x:v>
      </x:c>
      <x:c r="G21" s="75" t="str">
        <x:v>未決定</x:v>
      </x:c>
      <x:c r="H21" s="75" t="str">
        <x:v>41.4</x:v>
      </x:c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0"/>
      <x:c r="Z21" s="60"/>
    </x:row>
    <x:row r="22">
      <x:c r="A22" s="63" t="str">
        <x:v>U019</x:v>
      </x:c>
      <x:c r="B22" s="63" t="str">
        <x:v>文房具操作</x:v>
      </x:c>
      <x:c r="C22" s="75" t="str">
        <x:v>掴める判定・重なり選択</x:v>
      </x:c>
      <x:c r="D22" s="75" t="str">
        <x:v>Stationery操作</x:v>
      </x:c>
      <x:c r="E22" s="75" t="str">
        <x:v>Phase 2～6</x:v>
      </x:c>
      <x:c r="F22" s="75" t="str">
        <x:v>複数文房具が重なった時の選択しやすさで決める</x:v>
      </x:c>
      <x:c r="G22" s="75" t="str">
        <x:v>未決定</x:v>
      </x:c>
      <x:c r="H22" s="75" t="str">
        <x:v>41.4</x:v>
      </x:c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0"/>
      <x:c r="Z22" s="60"/>
    </x:row>
    <x:row r="23">
      <x:c r="A23" s="63" t="str">
        <x:v>U020</x:v>
      </x:c>
      <x:c r="B23" s="63" t="str">
        <x:v>文房具操作</x:v>
      </x:c>
      <x:c r="C23" s="75" t="str">
        <x:v>配置プレビュー/不正配置</x:v>
      </x:c>
      <x:c r="D23" s="75" t="str">
        <x:v>Stationery操作 / UI</x:v>
      </x:c>
      <x:c r="E23" s="75" t="str">
        <x:v>Phase 2～6</x:v>
      </x:c>
      <x:c r="F23" s="75" t="str">
        <x:v>原則自由配置を維持しつつ必要な警告だけ検討</x:v>
      </x:c>
      <x:c r="G23" s="75" t="str">
        <x:v>未決定</x:v>
      </x:c>
      <x:c r="H23" s="75" t="str">
        <x:v>41.4</x:v>
      </x:c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0"/>
      <x:c r="Z23" s="60"/>
    </x:row>
    <x:row r="24">
      <x:c r="A24" s="63" t="str">
        <x:v>U021</x:v>
      </x:c>
      <x:c r="B24" s="63" t="str">
        <x:v>鉛筆</x:v>
      </x:c>
      <x:c r="C24" s="75" t="str">
        <x:v>描画中の補間方法</x:v>
      </x:c>
      <x:c r="D24" s="75" t="str">
        <x:v>Pencil / Collision</x:v>
      </x:c>
      <x:c r="E24" s="75" t="str">
        <x:v>Phase 7</x:v>
      </x:c>
      <x:c r="F24" s="75" t="str">
        <x:v>マウス速度差でも穴の少ない線になる方式を比較</x:v>
      </x:c>
      <x:c r="G24" s="75" t="str">
        <x:v>未決定</x:v>
      </x:c>
      <x:c r="H24" s="75" t="str">
        <x:v>11.4,41.5</x:v>
      </x:c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0"/>
      <x:c r="Z24" s="60"/>
    </x:row>
    <x:row r="25">
      <x:c r="A25" s="63" t="str">
        <x:v>U022</x:v>
      </x:c>
      <x:c r="B25" s="63" t="str">
        <x:v>鉛筆</x:v>
      </x:c>
      <x:c r="C25" s="75" t="str">
        <x:v>線編集・ストローク削除</x:v>
      </x:c>
      <x:c r="D25" s="75" t="str">
        <x:v>Pencil</x:v>
      </x:c>
      <x:c r="E25" s="75" t="str">
        <x:v>Phase 7</x:v>
      </x:c>
      <x:c r="F25" s="75" t="str">
        <x:v>試行錯誤の快適さとリソース制約のバランスで決定</x:v>
      </x:c>
      <x:c r="G25" s="75" t="str">
        <x:v>未決定</x:v>
      </x:c>
      <x:c r="H25" s="75" t="str">
        <x:v>11.4,41.5</x:v>
      </x:c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0"/>
      <x:c r="Z25" s="60"/>
    </x:row>
    <x:row r="26">
      <x:c r="A26" s="63" t="str">
        <x:v>U023</x:v>
      </x:c>
      <x:c r="B26" s="63" t="str">
        <x:v>鉛筆</x:v>
      </x:c>
      <x:c r="C26" s="75" t="str">
        <x:v>描き直し時の残量返却</x:v>
      </x:c>
      <x:c r="D26" s="75" t="str">
        <x:v>Pencil / Economy</x:v>
      </x:c>
      <x:c r="E26" s="75" t="str">
        <x:v>Phase 7～13</x:v>
      </x:c>
      <x:c r="F26" s="75" t="str">
        <x:v>やり直しの寛容さとコイン価値を比較</x:v>
      </x:c>
      <x:c r="G26" s="75" t="str">
        <x:v>未決定</x:v>
      </x:c>
      <x:c r="H26" s="75" t="str">
        <x:v>11.4,41.5</x:v>
      </x:c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0"/>
      <x:c r="Z26" s="60"/>
    </x:row>
    <x:row r="27">
      <x:c r="A27" s="63" t="str">
        <x:v>U024</x:v>
      </x:c>
      <x:c r="B27" s="63" t="str">
        <x:v>鉛筆</x:v>
      </x:c>
      <x:c r="C27" s="75" t="str">
        <x:v>線の頂点数・Collider生成</x:v>
      </x:c>
      <x:c r="D27" s="75" t="str">
        <x:v>Pencil / Collision</x:v>
      </x:c>
      <x:c r="E27" s="75" t="str">
        <x:v>Phase 7</x:v>
      </x:c>
      <x:c r="F27" s="75" t="str">
        <x:v>負荷と形状精度の両立を測る</x:v>
      </x:c>
      <x:c r="G27" s="75" t="str">
        <x:v>未決定</x:v>
      </x:c>
      <x:c r="H27" s="75" t="str">
        <x:v>41.5</x:v>
      </x:c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0"/>
      <x:c r="Z27" s="60"/>
    </x:row>
    <x:row r="28">
      <x:c r="A28" s="63" t="str">
        <x:v>U025</x:v>
      </x:c>
      <x:c r="B28" s="63" t="str">
        <x:v>敵</x:v>
      </x:c>
      <x:c r="C28" s="75" t="str">
        <x:v>敵の種類</x:v>
      </x:c>
      <x:c r="D28" s="75" t="str">
        <x:v>Enemy / Stage</x:v>
      </x:c>
      <x:c r="E28" s="75" t="str">
        <x:v>Phase 11～13</x:v>
      </x:c>
      <x:c r="F28" s="75" t="str">
        <x:v>ルート構築を促す役割ごとに必要性を検討</x:v>
      </x:c>
      <x:c r="G28" s="75" t="str">
        <x:v>未決定</x:v>
      </x:c>
      <x:c r="H28" s="75" t="str">
        <x:v>41.6</x:v>
      </x:c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0"/>
      <x:c r="Z28" s="60"/>
    </x:row>
    <x:row r="29">
      <x:c r="A29" s="63" t="str">
        <x:v>U026</x:v>
      </x:c>
      <x:c r="B29" s="63" t="str">
        <x:v>敵</x:v>
      </x:c>
      <x:c r="C29" s="75" t="str">
        <x:v>移動AI</x:v>
      </x:c>
      <x:c r="D29" s="75" t="str">
        <x:v>Enemy</x:v>
      </x:c>
      <x:c r="E29" s="75" t="str">
        <x:v>Phase 11</x:v>
      </x:c>
      <x:c r="F29" s="75" t="str">
        <x:v>まず単純AIで検証後に必要な挙動だけ追加</x:v>
      </x:c>
      <x:c r="G29" s="75" t="str">
        <x:v>未決定</x:v>
      </x:c>
      <x:c r="H29" s="75" t="str">
        <x:v>41.6</x:v>
      </x:c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0"/>
      <x:c r="Z29" s="60"/>
    </x:row>
    <x:row r="30">
      <x:c r="A30" s="63" t="str">
        <x:v>U027</x:v>
      </x:c>
      <x:c r="B30" s="63" t="str">
        <x:v>敵</x:v>
      </x:c>
      <x:c r="C30" s="75" t="str">
        <x:v>敵と文房具の衝突</x:v>
      </x:c>
      <x:c r="D30" s="75" t="str">
        <x:v>Enemy / Physics / Stationery</x:v>
      </x:c>
      <x:c r="E30" s="75" t="str">
        <x:v>Phase 11</x:v>
      </x:c>
      <x:c r="F30" s="75" t="str">
        <x:v>衝突ON/OFFで閉じ込め・武器化の影響を比較</x:v>
      </x:c>
      <x:c r="G30" s="75" t="str">
        <x:v>未決定</x:v>
      </x:c>
      <x:c r="H30" s="75" t="str">
        <x:v>20.2,41.6</x:v>
      </x:c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0"/>
      <x:c r="Z30" s="60"/>
    </x:row>
    <x:row r="31">
      <x:c r="A31" s="63" t="str">
        <x:v>U028</x:v>
      </x:c>
      <x:c r="B31" s="63" t="str">
        <x:v>敵</x:v>
      </x:c>
      <x:c r="C31" s="75" t="str">
        <x:v>敵の復元状態</x:v>
      </x:c>
      <x:c r="D31" s="75" t="str">
        <x:v>Enemy / Checkpoint</x:v>
      </x:c>
      <x:c r="E31" s="75" t="str">
        <x:v>Phase 11</x:v>
      </x:c>
      <x:c r="F31" s="75" t="str">
        <x:v>位置・向き・AI内部状態の保存範囲を比較</x:v>
      </x:c>
      <x:c r="G31" s="75" t="str">
        <x:v>未決定</x:v>
      </x:c>
      <x:c r="H31" s="75" t="str">
        <x:v>41.6</x:v>
      </x:c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0"/>
      <x:c r="Z31" s="60"/>
    </x:row>
    <x:row r="32">
      <x:c r="A32" s="63" t="str">
        <x:v>U029</x:v>
      </x:c>
      <x:c r="B32" s="63" t="str">
        <x:v>Checkpoint</x:v>
      </x:c>
      <x:c r="C32" s="75" t="str">
        <x:v>配置間隔</x:v>
      </x:c>
      <x:c r="D32" s="75" t="str">
        <x:v>Stage / Checkpoint</x:v>
      </x:c>
      <x:c r="E32" s="75" t="str">
        <x:v>Phase 13</x:v>
      </x:c>
      <x:c r="F32" s="75" t="str">
        <x:v>ゲームオーバー時のやり直し負荷をプレイテスト</x:v>
      </x:c>
      <x:c r="G32" s="75" t="str">
        <x:v>未決定</x:v>
      </x:c>
      <x:c r="H32" s="75" t="str">
        <x:v>41.7</x:v>
      </x:c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</x:row>
    <x:row r="33">
      <x:c r="A33" s="63" t="str">
        <x:v>U030</x:v>
      </x:c>
      <x:c r="B33" s="63" t="str">
        <x:v>Checkpoint</x:v>
      </x:c>
      <x:c r="C33" s="75" t="str">
        <x:v>Velocity/AngularVelocity保存</x:v>
      </x:c>
      <x:c r="D33" s="75" t="str">
        <x:v>Checkpoint / Physics</x:v>
      </x:c>
      <x:c r="E33" s="75" t="str">
        <x:v>Phase 9</x:v>
      </x:c>
      <x:c r="F33" s="75" t="str">
        <x:v>復元時の不安定さが少ない方式を比較</x:v>
      </x:c>
      <x:c r="G33" s="75" t="str">
        <x:v>未決定</x:v>
      </x:c>
      <x:c r="H33" s="75" t="str">
        <x:v>24.1,41.7</x:v>
      </x:c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</x:row>
    <x:row r="34">
      <x:c r="A34" s="63" t="str">
        <x:v>U031</x:v>
      </x:c>
      <x:c r="B34" s="63" t="str">
        <x:v>Checkpoint</x:v>
      </x:c>
      <x:c r="C34" s="75" t="str">
        <x:v>復元直後の無敵時間</x:v>
      </x:c>
      <x:c r="D34" s="75" t="str">
        <x:v>Checkpoint / Miss</x:v>
      </x:c>
      <x:c r="E34" s="75" t="str">
        <x:v>Phase 9</x:v>
      </x:c>
      <x:c r="F34" s="75" t="str">
        <x:v>即死ループの有無を再現して要否を決める</x:v>
      </x:c>
      <x:c r="G34" s="75" t="str">
        <x:v>未決定</x:v>
      </x:c>
      <x:c r="H34" s="75" t="str">
        <x:v>41.7</x:v>
      </x:c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</x:row>
    <x:row r="35">
      <x:c r="A35" s="63" t="str">
        <x:v>U032</x:v>
      </x:c>
      <x:c r="B35" s="63" t="str">
        <x:v>Stage</x:v>
      </x:c>
      <x:c r="C35" s="75" t="str">
        <x:v>ステージ数・長さ</x:v>
      </x:c>
      <x:c r="D35" s="75" t="str">
        <x:v>Stage</x:v>
      </x:c>
      <x:c r="E35" s="75" t="str">
        <x:v>Phase 13</x:v>
      </x:c>
      <x:c r="F35" s="75" t="str">
        <x:v>制作期間と1ステージの負荷から決定</x:v>
      </x:c>
      <x:c r="G35" s="75" t="str">
        <x:v>未決定</x:v>
      </x:c>
      <x:c r="H35" s="75" t="str">
        <x:v>41.8</x:v>
      </x:c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</x:row>
    <x:row r="36">
      <x:c r="A36" s="63" t="str">
        <x:v>U033</x:v>
      </x:c>
      <x:c r="B36" s="63" t="str">
        <x:v>Stage</x:v>
      </x:c>
      <x:c r="C36" s="75" t="str">
        <x:v>ステージ選択</x:v>
      </x:c>
      <x:c r="D36" s="75" t="str">
        <x:v>GameFlow / UI</x:v>
      </x:c>
      <x:c r="E36" s="75" t="str">
        <x:v>Phase 12～13</x:v>
      </x:c>
      <x:c r="F36" s="75" t="str">
        <x:v>必要なゲーム全体構成が固まってから決定</x:v>
      </x:c>
      <x:c r="G36" s="75" t="str">
        <x:v>未決定</x:v>
      </x:c>
      <x:c r="H36" s="75" t="str">
        <x:v>41.8</x:v>
      </x:c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</x:row>
    <x:row r="37">
      <x:c r="A37" s="63" t="str">
        <x:v>U034</x:v>
      </x:c>
      <x:c r="B37" s="63" t="str">
        <x:v>Stage</x:v>
      </x:c>
      <x:c r="C37" s="75" t="str">
        <x:v>チュートリアル形式</x:v>
      </x:c>
      <x:c r="D37" s="75" t="str">
        <x:v>Stage / UI</x:v>
      </x:c>
      <x:c r="E37" s="75" t="str">
        <x:v>Phase 13</x:v>
      </x:c>
      <x:c r="F37" s="75" t="str">
        <x:v>実際の初見プレイで詰まる点を確認して設計</x:v>
      </x:c>
      <x:c r="G37" s="75" t="str">
        <x:v>未決定</x:v>
      </x:c>
      <x:c r="H37" s="75" t="str">
        <x:v>41.8</x:v>
      </x:c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</x:row>
    <x:row r="38">
      <x:c r="A38" s="63" t="str">
        <x:v>U035</x:v>
      </x:c>
      <x:c r="B38" s="63" t="str">
        <x:v>Stage</x:v>
      </x:c>
      <x:c r="C38" s="75" t="str">
        <x:v>ゴール形式</x:v>
      </x:c>
      <x:c r="D38" s="75" t="str">
        <x:v>Stage / GameFlow</x:v>
      </x:c>
      <x:c r="E38" s="75" t="str">
        <x:v>Phase 12</x:v>
      </x:c>
      <x:c r="F38" s="75" t="str">
        <x:v>接触/到達エリア等から演出と実装負荷で決定</x:v>
      </x:c>
      <x:c r="G38" s="75" t="str">
        <x:v>未決定</x:v>
      </x:c>
      <x:c r="H38" s="75" t="str">
        <x:v>41.8</x:v>
      </x:c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</x:row>
    <x:row r="39">
      <x:c r="A39" s="63" t="str">
        <x:v>U036</x:v>
      </x:c>
      <x:c r="B39" s="63" t="str">
        <x:v>Stage</x:v>
      </x:c>
      <x:c r="C39" s="75" t="str">
        <x:v>ステージ固有ギミック</x:v>
      </x:c>
      <x:c r="D39" s="75" t="str">
        <x:v>Stage</x:v>
      </x:c>
      <x:c r="E39" s="75" t="str">
        <x:v>Phase 13</x:v>
      </x:c>
      <x:c r="F39" s="75" t="str">
        <x:v>基本システム成立後に必要なものだけ追加</x:v>
      </x:c>
      <x:c r="G39" s="75" t="str">
        <x:v>未決定</x:v>
      </x:c>
      <x:c r="H39" s="75" t="str">
        <x:v>41.8</x:v>
      </x:c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</x:row>
    <x:row r="40">
      <x:c r="A40" s="63" t="str">
        <x:v>U037</x:v>
      </x:c>
      <x:c r="B40" s="63" t="str">
        <x:v>Stage</x:v>
      </x:c>
      <x:c r="C40" s="75" t="str">
        <x:v>コイン配置量</x:v>
      </x:c>
      <x:c r="D40" s="75" t="str">
        <x:v>Economy / Stage</x:v>
      </x:c>
      <x:c r="E40" s="75" t="str">
        <x:v>Phase 13</x:v>
      </x:c>
      <x:c r="F40" s="75" t="str">
        <x:v>全取得必須にならず工夫で余る量へ調整</x:v>
      </x:c>
      <x:c r="G40" s="75" t="str">
        <x:v>未決定</x:v>
      </x:c>
      <x:c r="H40" s="75" t="str">
        <x:v>41.8</x:v>
      </x:c>
      <x:c r="I40" s="60"/>
      <x:c r="J40" s="60"/>
      <x:c r="K40" s="60"/>
      <x:c r="L40" s="60"/>
      <x:c r="M40" s="60"/>
      <x:c r="N40" s="60"/>
      <x:c r="O40" s="60"/>
      <x:c r="P40" s="60"/>
      <x:c r="Q40" s="60"/>
      <x:c r="R40" s="60"/>
      <x:c r="S40" s="60"/>
      <x:c r="T40" s="60"/>
      <x:c r="U40" s="60"/>
      <x:c r="V40" s="60"/>
      <x:c r="W40" s="60"/>
      <x:c r="X40" s="60"/>
      <x:c r="Y40" s="60"/>
      <x:c r="Z40" s="60"/>
    </x:row>
    <x:row r="41">
      <x:c r="A41" s="63" t="str">
        <x:v>U038</x:v>
      </x:c>
      <x:c r="B41" s="63" t="str">
        <x:v>Clear後</x:v>
      </x:c>
      <x:c r="C41" s="75" t="str">
        <x:v>リザルト画面</x:v>
      </x:c>
      <x:c r="D41" s="75" t="str">
        <x:v>UI / GameFlow</x:v>
      </x:c>
      <x:c r="E41" s="75" t="str">
        <x:v>Phase 12～13</x:v>
      </x:c>
      <x:c r="F41" s="75" t="str">
        <x:v>最終制作範囲に応じて決定</x:v>
      </x:c>
      <x:c r="G41" s="75" t="str">
        <x:v>未決定</x:v>
      </x:c>
      <x:c r="H41" s="75" t="str">
        <x:v>41.9</x:v>
      </x:c>
      <x:c r="I41" s="60"/>
      <x:c r="J41" s="60"/>
      <x:c r="K41" s="60"/>
      <x:c r="L41" s="60"/>
      <x:c r="M41" s="60"/>
      <x:c r="N41" s="60"/>
      <x:c r="O41" s="60"/>
      <x:c r="P41" s="60"/>
      <x:c r="Q41" s="60"/>
      <x:c r="R41" s="60"/>
      <x:c r="S41" s="60"/>
      <x:c r="T41" s="60"/>
      <x:c r="U41" s="60"/>
      <x:c r="V41" s="60"/>
      <x:c r="W41" s="60"/>
      <x:c r="X41" s="60"/>
      <x:c r="Y41" s="60"/>
      <x:c r="Z41" s="60"/>
    </x:row>
    <x:row r="42">
      <x:c r="A42" s="63" t="str">
        <x:v>U039</x:v>
      </x:c>
      <x:c r="B42" s="63" t="str">
        <x:v>Clear後</x:v>
      </x:c>
      <x:c r="C42" s="75" t="str">
        <x:v>残コイン/使用数/タイム評価</x:v>
      </x:c>
      <x:c r="D42" s="75" t="str">
        <x:v>Result / Economy</x:v>
      </x:c>
      <x:c r="E42" s="75" t="str">
        <x:v>Phase 13</x:v>
      </x:c>
      <x:c r="F42" s="75" t="str">
        <x:v>コア体験を歪めない評価項目だけ採用</x:v>
      </x:c>
      <x:c r="G42" s="75" t="str">
        <x:v>未決定</x:v>
      </x:c>
      <x:c r="H42" s="75" t="str">
        <x:v>41.9</x:v>
      </x:c>
      <x:c r="I42" s="60"/>
      <x:c r="J42" s="60"/>
      <x:c r="K42" s="60"/>
      <x:c r="L42" s="60"/>
      <x:c r="M42" s="60"/>
      <x:c r="N42" s="60"/>
      <x:c r="O42" s="60"/>
      <x:c r="P42" s="60"/>
      <x:c r="Q42" s="60"/>
      <x:c r="R42" s="60"/>
      <x:c r="S42" s="60"/>
      <x:c r="T42" s="60"/>
      <x:c r="U42" s="60"/>
      <x:c r="V42" s="60"/>
      <x:c r="W42" s="60"/>
      <x:c r="X42" s="60"/>
      <x:c r="Y42" s="60"/>
      <x:c r="Z42" s="60"/>
    </x:row>
    <x:row r="43">
      <x:c r="A43" s="63" t="str">
        <x:v>U040</x:v>
      </x:c>
      <x:c r="B43" s="63" t="str">
        <x:v>Clear後</x:v>
      </x:c>
      <x:c r="C43" s="75" t="str">
        <x:v>次ステージ/選択画面遷移</x:v>
      </x:c>
      <x:c r="D43" s="75" t="str">
        <x:v>GameFlow / UI</x:v>
      </x:c>
      <x:c r="E43" s="75" t="str">
        <x:v>Phase 12～13</x:v>
      </x:c>
      <x:c r="F43" s="75" t="str">
        <x:v>ゲーム全体構成決定後に確定</x:v>
      </x:c>
      <x:c r="G43" s="75" t="str">
        <x:v>未決定</x:v>
      </x:c>
      <x:c r="H43" s="75" t="str">
        <x:v>41.9</x:v>
      </x:c>
      <x:c r="I43" s="60"/>
      <x:c r="J43" s="60"/>
      <x:c r="K43" s="60"/>
      <x:c r="L43" s="60"/>
      <x:c r="M43" s="60"/>
      <x:c r="N43" s="60"/>
      <x:c r="O43" s="60"/>
      <x:c r="P43" s="60"/>
      <x:c r="Q43" s="60"/>
      <x:c r="R43" s="60"/>
      <x:c r="S43" s="60"/>
      <x:c r="T43" s="60"/>
      <x:c r="U43" s="60"/>
      <x:c r="V43" s="60"/>
      <x:c r="W43" s="60"/>
      <x:c r="X43" s="60"/>
      <x:c r="Y43" s="60"/>
      <x:c r="Z43" s="60"/>
    </x:row>
    <x:row r="44">
      <x:c r="A44" s="63" t="str">
        <x:v>U041</x:v>
      </x:c>
      <x:c r="B44" s="63" t="str">
        <x:v>時間</x:v>
      </x:c>
      <x:c r="C44" s="75" t="str">
        <x:v>制限時間の有無</x:v>
      </x:c>
      <x:c r="D44" s="75" t="str">
        <x:v>Stage / UI</x:v>
      </x:c>
      <x:c r="E44" s="75" t="str">
        <x:v>Phase 13</x:v>
      </x:c>
      <x:c r="F44" s="75" t="str">
        <x:v>思考時間を損なうか、プレイテンポを上げるか比較</x:v>
      </x:c>
      <x:c r="G44" s="75" t="str">
        <x:v>未決定</x:v>
      </x:c>
      <x:c r="H44" s="75" t="str">
        <x:v>41.10</x:v>
      </x:c>
      <x:c r="I44" s="60"/>
      <x:c r="J44" s="60"/>
      <x:c r="K44" s="60"/>
      <x:c r="L44" s="60"/>
      <x:c r="M44" s="60"/>
      <x:c r="N44" s="60"/>
      <x:c r="O44" s="60"/>
      <x:c r="P44" s="60"/>
      <x:c r="Q44" s="60"/>
      <x:c r="R44" s="60"/>
      <x:c r="S44" s="60"/>
      <x:c r="T44" s="60"/>
      <x:c r="U44" s="60"/>
      <x:c r="V44" s="60"/>
      <x:c r="W44" s="60"/>
      <x:c r="X44" s="60"/>
      <x:c r="Y44" s="60"/>
      <x:c r="Z44" s="60"/>
    </x:row>
    <x:row r="45">
      <x:c r="A45" s="60"/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  <x:c r="R45" s="60"/>
      <x:c r="S45" s="60"/>
      <x:c r="T45" s="60"/>
      <x:c r="U45" s="60"/>
      <x:c r="V45" s="60"/>
      <x:c r="W45" s="60"/>
      <x:c r="X45" s="60"/>
      <x:c r="Y45" s="60"/>
      <x:c r="Z45" s="60"/>
    </x:row>
    <x:row r="46">
      <x:c r="A46" s="60"/>
      <x:c r="B46" s="60"/>
      <x:c r="C46" s="60"/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/>
      <x:c r="P46" s="60"/>
      <x:c r="Q46" s="60"/>
      <x:c r="R46" s="60"/>
      <x:c r="S46" s="60"/>
      <x:c r="T46" s="60"/>
      <x:c r="U46" s="60"/>
      <x:c r="V46" s="60"/>
      <x:c r="W46" s="60"/>
      <x:c r="X46" s="60"/>
      <x:c r="Y46" s="60"/>
      <x:c r="Z46" s="60"/>
    </x:row>
    <x:row r="47">
      <x:c r="A47" s="79" t="str">
        <x:v>先行技術検証 / 統合検証</x:v>
      </x:c>
      <x:c r="B47" s="79"/>
      <x:c r="C47" s="79"/>
      <x:c r="D47" s="79"/>
      <x:c r="E47" s="79"/>
      <x:c r="F47" s="79"/>
      <x:c r="G47" s="79"/>
      <x:c r="H47" s="79"/>
      <x:c r="I47" s="60"/>
      <x:c r="J47" s="60"/>
      <x:c r="K47" s="60"/>
      <x:c r="L47" s="60"/>
      <x:c r="M47" s="60"/>
      <x:c r="N47" s="60"/>
      <x:c r="O47" s="60"/>
      <x:c r="P47" s="60"/>
      <x:c r="Q47" s="60"/>
      <x:c r="R47" s="60"/>
      <x:c r="S47" s="60"/>
      <x:c r="T47" s="60"/>
      <x:c r="U47" s="60"/>
      <x:c r="V47" s="60"/>
      <x:c r="W47" s="60"/>
      <x:c r="X47" s="60"/>
      <x:c r="Y47" s="60"/>
      <x:c r="Z47" s="60"/>
    </x:row>
    <x:row r="48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/>
      <x:c r="P48" s="60"/>
      <x:c r="Q48" s="60"/>
      <x:c r="R48" s="60"/>
      <x:c r="S48" s="60"/>
      <x:c r="T48" s="60"/>
      <x:c r="U48" s="60"/>
      <x:c r="V48" s="60"/>
      <x:c r="W48" s="60"/>
      <x:c r="X48" s="60"/>
      <x:c r="Y48" s="60"/>
      <x:c r="Z48" s="60"/>
    </x:row>
    <x:row r="49">
      <x:c r="A49" s="78" t="str">
        <x:v>検証ID</x:v>
      </x:c>
      <x:c r="B49" s="78" t="str">
        <x:v>検証テーマ</x:v>
      </x:c>
      <x:c r="C49" s="78" t="str">
        <x:v>目的</x:v>
      </x:c>
      <x:c r="D49" s="78" t="str">
        <x:v>手順</x:v>
      </x:c>
      <x:c r="E49" s="78" t="str">
        <x:v>合格基準</x:v>
      </x:c>
      <x:c r="F49" s="78" t="str">
        <x:v>対応TODO</x:v>
      </x:c>
      <x:c r="G49" s="60"/>
      <x:c r="H49" s="60"/>
      <x:c r="I49" s="60"/>
      <x:c r="J49" s="60"/>
      <x:c r="K49" s="60"/>
      <x:c r="L49" s="60"/>
      <x:c r="M49" s="60"/>
      <x:c r="N49" s="60"/>
      <x:c r="O49" s="60"/>
      <x:c r="P49" s="60"/>
      <x:c r="Q49" s="60"/>
      <x:c r="R49" s="60"/>
      <x:c r="S49" s="60"/>
      <x:c r="T49" s="60"/>
      <x:c r="U49" s="60"/>
      <x:c r="V49" s="60"/>
      <x:c r="W49" s="60"/>
      <x:c r="X49" s="60"/>
      <x:c r="Y49" s="60"/>
      <x:c r="Z49" s="60"/>
    </x:row>
    <x:row r="50">
      <x:c r="A50" s="75" t="str">
        <x:v>V001</x:v>
      </x:c>
      <x:c r="B50" s="75" t="str">
        <x:v>回転足場</x:v>
      </x:c>
      <x:c r="C50" s="75" t="str">
        <x:v>自由回転した定規の上を自然に移動できるか確認</x:v>
      </x:c>
      <x:c r="D50" s="75" t="str">
        <x:v>水平定規→斜め定規→斜面移動→端部/角部の順にプレイ確認</x:v>
      </x:c>
      <x:c r="E50" s="75" t="str">
        <x:v>水平に乗れる / 斜めに乗れる / 斜面移動できる / 引っ掛かりが致命的でない</x:v>
      </x:c>
      <x:c r="F50" s="75" t="str">
        <x:v>T014</x:v>
      </x:c>
      <x:c r="G50" s="60"/>
      <x:c r="H50" s="60"/>
      <x:c r="I50" s="60"/>
      <x:c r="J50" s="60"/>
      <x:c r="K50" s="60"/>
      <x:c r="L50" s="60"/>
      <x:c r="M50" s="60"/>
      <x:c r="N50" s="60"/>
      <x:c r="O50" s="60"/>
      <x:c r="P50" s="60"/>
      <x:c r="Q50" s="60"/>
      <x:c r="R50" s="60"/>
      <x:c r="S50" s="60"/>
      <x:c r="T50" s="60"/>
      <x:c r="U50" s="60"/>
      <x:c r="V50" s="60"/>
      <x:c r="W50" s="60"/>
      <x:c r="X50" s="60"/>
      <x:c r="Y50" s="60"/>
      <x:c r="Z50" s="60"/>
    </x:row>
    <x:row r="51">
      <x:c r="A51" s="75" t="str">
        <x:v>V002</x:v>
      </x:c>
      <x:c r="B51" s="75" t="str">
        <x:v>動的文房具</x:v>
      </x:c>
      <x:c r="C51" s="75" t="str">
        <x:v>定規の簡易物理がゲームとして成立するか確認</x:v>
      </x:c>
      <x:c r="D51" s="75" t="str">
        <x:v>空中落下→床衝突→斜面→静止の順に確認</x:v>
      </x:c>
      <x:c r="E51" s="75" t="str">
        <x:v>落下する / 地面で止まる / 斜面で滑る / 異常振動し続けない</x:v>
      </x:c>
      <x:c r="F51" s="75" t="str">
        <x:v>T022</x:v>
      </x:c>
      <x:c r="G51" s="60"/>
      <x:c r="H51" s="60"/>
      <x:c r="I51" s="60"/>
      <x:c r="J51" s="60"/>
      <x:c r="K51" s="60"/>
      <x:c r="L51" s="60"/>
      <x:c r="M51" s="60"/>
      <x:c r="N51" s="60"/>
      <x:c r="O51" s="60"/>
      <x:c r="P51" s="60"/>
      <x:c r="Q51" s="60"/>
      <x:c r="R51" s="60"/>
      <x:c r="S51" s="60"/>
      <x:c r="T51" s="60"/>
      <x:c r="U51" s="60"/>
      <x:c r="V51" s="60"/>
      <x:c r="W51" s="60"/>
      <x:c r="X51" s="60"/>
      <x:c r="Y51" s="60"/>
      <x:c r="Z51" s="60"/>
    </x:row>
    <x:row r="52">
      <x:c r="A52" s="75" t="str">
        <x:v>V003</x:v>
      </x:c>
      <x:c r="B52" s="75" t="str">
        <x:v>文房具同士</x:v>
      </x:c>
      <x:c r="C52" s="75" t="str">
        <x:v>複数文房具の組み合わせが成立するか確認</x:v>
      </x:c>
      <x:c r="D52" s="75" t="str">
        <x:v>定規×三角定規→定規×消しゴム→3種の単純構造を確認</x:v>
      </x:c>
      <x:c r="E52" s="75" t="str">
        <x:v>致命的めり込みなし / 消しゴムで支えられる / 複雑でなければ安定</x:v>
      </x:c>
      <x:c r="F52" s="75" t="str">
        <x:v>T031</x:v>
      </x:c>
      <x:c r="G52" s="60"/>
      <x:c r="H52" s="60"/>
      <x:c r="I52" s="60"/>
      <x:c r="J52" s="60"/>
      <x:c r="K52" s="60"/>
      <x:c r="L52" s="60"/>
      <x:c r="M52" s="60"/>
      <x:c r="N52" s="60"/>
      <x:c r="O52" s="60"/>
      <x:c r="P52" s="60"/>
      <x:c r="Q52" s="60"/>
      <x:c r="R52" s="60"/>
      <x:c r="S52" s="60"/>
      <x:c r="T52" s="60"/>
      <x:c r="U52" s="60"/>
      <x:c r="V52" s="60"/>
      <x:c r="W52" s="60"/>
      <x:c r="X52" s="60"/>
      <x:c r="Y52" s="60"/>
      <x:c r="Z52" s="60"/>
    </x:row>
    <x:row r="53">
      <x:c r="A53" s="75" t="str">
        <x:v>V004</x:v>
      </x:c>
      <x:c r="B53" s="75" t="str">
        <x:v>復帰状態</x:v>
      </x:c>
      <x:c r="C53" s="75" t="str">
        <x:v>Snapshot復元の整合性確認</x:v>
      </x:c>
      <x:c r="D53" s="75" t="str">
        <x:v>CP保存→コイン取得/購入/配置/USED/鉛筆描画→手動RetryとMissで復帰</x:v>
      </x:c>
      <x:c r="E53" s="75" t="str">
        <x:v>CP時点のステージ状態へ戻る / Miss時だけ残機-1 / 手動Retryは残機不変</x:v>
      </x:c>
      <x:c r="F53" s="75" t="str">
        <x:v>T074</x:v>
      </x:c>
      <x:c r="G53" s="60"/>
      <x:c r="H53" s="60"/>
      <x:c r="I53" s="60"/>
      <x:c r="J53" s="60"/>
      <x:c r="K53" s="60"/>
      <x:c r="L53" s="60"/>
      <x:c r="M53" s="60"/>
      <x:c r="N53" s="60"/>
      <x:c r="O53" s="60"/>
      <x:c r="P53" s="60"/>
      <x:c r="Q53" s="60"/>
      <x:c r="R53" s="60"/>
      <x:c r="S53" s="60"/>
      <x:c r="T53" s="60"/>
      <x:c r="U53" s="60"/>
      <x:c r="V53" s="60"/>
      <x:c r="W53" s="60"/>
      <x:c r="X53" s="60"/>
      <x:c r="Y53" s="60"/>
      <x:c r="Z53" s="60"/>
    </x:row>
    <x:row r="54">
      <x:c r="A54" s="75" t="str">
        <x:v>V005</x:v>
      </x:c>
      <x:c r="B54" s="75" t="str">
        <x:v>リアルタイム</x:v>
      </x:c>
      <x:c r="C54" s="75" t="str">
        <x:v>同時操作がゲーム停止なしで成立するか確認</x:v>
      </x:c>
      <x:c r="D54" s="75" t="str">
        <x:v>移動しながら購入/ドラッグ/回転/鉛筆描画を順に実施</x:v>
      </x:c>
      <x:c r="E54" s="75" t="str">
        <x:v>プレイヤー/敵/動的文房具の更新が停止せず、入力が破綻しない</x:v>
      </x:c>
      <x:c r="F54" s="75" t="str">
        <x:v>T075</x:v>
      </x:c>
      <x:c r="G54" s="60"/>
      <x:c r="H54" s="60"/>
      <x:c r="I54" s="60"/>
      <x:c r="J54" s="60"/>
      <x:c r="K54" s="60"/>
      <x:c r="L54" s="60"/>
      <x:c r="M54" s="60"/>
      <x:c r="N54" s="60"/>
      <x:c r="O54" s="60"/>
      <x:c r="P54" s="60"/>
      <x:c r="Q54" s="60"/>
      <x:c r="R54" s="60"/>
      <x:c r="S54" s="60"/>
      <x:c r="T54" s="60"/>
      <x:c r="U54" s="60"/>
      <x:c r="V54" s="60"/>
      <x:c r="W54" s="60"/>
      <x:c r="X54" s="60"/>
      <x:c r="Y54" s="60"/>
      <x:c r="Z54" s="60"/>
    </x:row>
    <x:row r="55">
      <x:c r="A55" s="75" t="str">
        <x:v>V006</x:v>
      </x:c>
      <x:c r="B55" s="75" t="str">
        <x:v>物理再現性</x:v>
      </x:c>
      <x:c r="C55" s="75" t="str">
        <x:v>プレイヤーが結果を予測しやすいか確認</x:v>
      </x:c>
      <x:c r="D55" s="75" t="str">
        <x:v>同じ初期配置と同じ操作を複数回繰り返す</x:v>
      </x:c>
      <x:c r="E55" s="75" t="str">
        <x:v>結果が大きくランダムに崩れず、異常振動や貫通が常態化しない</x:v>
      </x:c>
      <x:c r="F55" s="75" t="str">
        <x:v>T076</x:v>
      </x:c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  <x:c r="R55" s="60"/>
      <x:c r="S55" s="60"/>
      <x:c r="T55" s="60"/>
      <x:c r="U55" s="60"/>
      <x:c r="V55" s="60"/>
      <x:c r="W55" s="60"/>
      <x:c r="X55" s="60"/>
      <x:c r="Y55" s="60"/>
      <x:c r="Z55" s="60"/>
    </x:row>
    <x:row r="56">
      <x:c r="A56" s="60"/>
      <x:c r="B56" s="60"/>
      <x:c r="C56" s="60"/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/>
      <x:c r="P56" s="60"/>
      <x:c r="Q56" s="60"/>
      <x:c r="R56" s="60"/>
      <x:c r="S56" s="60"/>
      <x:c r="T56" s="60"/>
      <x:c r="U56" s="60"/>
      <x:c r="V56" s="60"/>
      <x:c r="W56" s="60"/>
      <x:c r="X56" s="60"/>
      <x:c r="Y56" s="60"/>
      <x:c r="Z56" s="60"/>
    </x:row>
    <x:row r="57">
      <x:c r="A57" s="60"/>
      <x:c r="B57" s="60"/>
      <x:c r="C57" s="60"/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/>
      <x:c r="P57" s="60"/>
      <x:c r="Q57" s="60"/>
      <x:c r="R57" s="60"/>
      <x:c r="S57" s="60"/>
      <x:c r="T57" s="60"/>
      <x:c r="U57" s="60"/>
      <x:c r="V57" s="60"/>
      <x:c r="W57" s="60"/>
      <x:c r="X57" s="60"/>
      <x:c r="Y57" s="60"/>
      <x:c r="Z57" s="60"/>
    </x:row>
    <x:row r="58">
      <x:c r="A58" s="60"/>
      <x:c r="B58" s="60"/>
      <x:c r="C58" s="60"/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/>
      <x:c r="P58" s="60"/>
      <x:c r="Q58" s="60"/>
      <x:c r="R58" s="60"/>
      <x:c r="S58" s="60"/>
      <x:c r="T58" s="60"/>
      <x:c r="U58" s="60"/>
      <x:c r="V58" s="60"/>
      <x:c r="W58" s="60"/>
      <x:c r="X58" s="60"/>
      <x:c r="Y58" s="60"/>
      <x:c r="Z58" s="60"/>
    </x:row>
    <x:row r="59">
      <x:c r="A59" s="60"/>
      <x:c r="B59" s="60"/>
      <x:c r="C59" s="60"/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/>
      <x:c r="P59" s="60"/>
      <x:c r="Q59" s="60"/>
      <x:c r="R59" s="60"/>
      <x:c r="S59" s="60"/>
      <x:c r="T59" s="60"/>
      <x:c r="U59" s="60"/>
      <x:c r="V59" s="60"/>
      <x:c r="W59" s="60"/>
      <x:c r="X59" s="60"/>
      <x:c r="Y59" s="60"/>
      <x:c r="Z59" s="60"/>
    </x:row>
    <x:row r="60">
      <x:c r="A60" s="60"/>
      <x:c r="B60" s="60"/>
      <x:c r="C60" s="60"/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/>
      <x:c r="P60" s="60"/>
      <x:c r="Q60" s="60"/>
      <x:c r="R60" s="60"/>
      <x:c r="S60" s="60"/>
      <x:c r="T60" s="60"/>
      <x:c r="U60" s="60"/>
      <x:c r="V60" s="60"/>
      <x:c r="W60" s="60"/>
      <x:c r="X60" s="60"/>
      <x:c r="Y60" s="60"/>
      <x:c r="Z60" s="60"/>
    </x:row>
    <x:row r="61">
      <x:c r="A61" s="60"/>
      <x:c r="B61" s="60"/>
      <x:c r="C61" s="60"/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/>
      <x:c r="P61" s="60"/>
      <x:c r="Q61" s="60"/>
      <x:c r="R61" s="60"/>
      <x:c r="S61" s="60"/>
      <x:c r="T61" s="60"/>
      <x:c r="U61" s="60"/>
      <x:c r="V61" s="60"/>
      <x:c r="W61" s="60"/>
      <x:c r="X61" s="60"/>
      <x:c r="Y61" s="60"/>
      <x:c r="Z61" s="60"/>
    </x:row>
    <x:row r="62">
      <x:c r="A62" s="60"/>
      <x:c r="B62" s="60"/>
      <x:c r="C62" s="60"/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/>
      <x:c r="P62" s="60"/>
      <x:c r="Q62" s="60"/>
      <x:c r="R62" s="60"/>
      <x:c r="S62" s="60"/>
      <x:c r="T62" s="60"/>
      <x:c r="U62" s="60"/>
      <x:c r="V62" s="60"/>
      <x:c r="W62" s="60"/>
      <x:c r="X62" s="60"/>
      <x:c r="Y62" s="60"/>
      <x:c r="Z62" s="60"/>
    </x:row>
    <x:row r="63">
      <x:c r="A63" s="60"/>
      <x:c r="B63" s="60"/>
      <x:c r="C63" s="60"/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/>
      <x:c r="P63" s="60"/>
      <x:c r="Q63" s="60"/>
      <x:c r="R63" s="60"/>
      <x:c r="S63" s="60"/>
      <x:c r="T63" s="60"/>
      <x:c r="U63" s="60"/>
      <x:c r="V63" s="60"/>
      <x:c r="W63" s="60"/>
      <x:c r="X63" s="60"/>
      <x:c r="Y63" s="60"/>
      <x:c r="Z63" s="60"/>
    </x:row>
    <x:row r="64">
      <x:c r="A64" s="60"/>
      <x:c r="B64" s="60"/>
      <x:c r="C64" s="60"/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/>
      <x:c r="P64" s="60"/>
      <x:c r="Q64" s="60"/>
      <x:c r="R64" s="60"/>
      <x:c r="S64" s="60"/>
      <x:c r="T64" s="60"/>
      <x:c r="U64" s="60"/>
      <x:c r="V64" s="60"/>
      <x:c r="W64" s="60"/>
      <x:c r="X64" s="60"/>
      <x:c r="Y64" s="60"/>
      <x:c r="Z64" s="60"/>
    </x:row>
    <x:row r="65">
      <x:c r="A65" s="60"/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  <x:c r="R65" s="60"/>
      <x:c r="S65" s="60"/>
      <x:c r="T65" s="60"/>
      <x:c r="U65" s="60"/>
      <x:c r="V65" s="60"/>
      <x:c r="W65" s="60"/>
      <x:c r="X65" s="60"/>
      <x:c r="Y65" s="60"/>
      <x:c r="Z65" s="60"/>
    </x:row>
    <x:row r="66">
      <x:c r="A66" s="60"/>
      <x:c r="B66" s="60"/>
      <x:c r="C66" s="60"/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/>
      <x:c r="P66" s="60"/>
      <x:c r="Q66" s="60"/>
      <x:c r="R66" s="60"/>
      <x:c r="S66" s="60"/>
      <x:c r="T66" s="60"/>
      <x:c r="U66" s="60"/>
      <x:c r="V66" s="60"/>
      <x:c r="W66" s="60"/>
      <x:c r="X66" s="60"/>
      <x:c r="Y66" s="60"/>
      <x:c r="Z66" s="60"/>
    </x:row>
    <x:row r="67">
      <x:c r="A67" s="60"/>
      <x:c r="B67" s="60"/>
      <x:c r="C67" s="60"/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/>
      <x:c r="P67" s="60"/>
      <x:c r="Q67" s="60"/>
      <x:c r="R67" s="60"/>
      <x:c r="S67" s="60"/>
      <x:c r="T67" s="60"/>
      <x:c r="U67" s="60"/>
      <x:c r="V67" s="60"/>
      <x:c r="W67" s="60"/>
      <x:c r="X67" s="60"/>
      <x:c r="Y67" s="60"/>
      <x:c r="Z67" s="60"/>
    </x:row>
    <x:row r="68">
      <x:c r="A68" s="60"/>
      <x:c r="B68" s="60"/>
      <x:c r="C68" s="60"/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/>
      <x:c r="P68" s="60"/>
      <x:c r="Q68" s="60"/>
      <x:c r="R68" s="60"/>
      <x:c r="S68" s="60"/>
      <x:c r="T68" s="60"/>
      <x:c r="U68" s="60"/>
      <x:c r="V68" s="60"/>
      <x:c r="W68" s="60"/>
      <x:c r="X68" s="60"/>
      <x:c r="Y68" s="60"/>
      <x:c r="Z68" s="60"/>
    </x:row>
    <x:row r="69">
      <x:c r="A69" s="60"/>
      <x:c r="B69" s="60"/>
      <x:c r="C69" s="60"/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/>
      <x:c r="P69" s="60"/>
      <x:c r="Q69" s="60"/>
      <x:c r="R69" s="60"/>
      <x:c r="S69" s="60"/>
      <x:c r="T69" s="60"/>
      <x:c r="U69" s="60"/>
      <x:c r="V69" s="60"/>
      <x:c r="W69" s="60"/>
      <x:c r="X69" s="60"/>
      <x:c r="Y69" s="60"/>
      <x:c r="Z69" s="60"/>
    </x:row>
    <x:row r="70">
      <x:c r="A70" s="60"/>
      <x:c r="B70" s="60"/>
      <x:c r="C70" s="60"/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/>
      <x:c r="P70" s="60"/>
      <x:c r="Q70" s="60"/>
      <x:c r="R70" s="60"/>
      <x:c r="S70" s="60"/>
      <x:c r="T70" s="60"/>
      <x:c r="U70" s="60"/>
      <x:c r="V70" s="60"/>
      <x:c r="W70" s="60"/>
      <x:c r="X70" s="60"/>
      <x:c r="Y70" s="60"/>
      <x:c r="Z70" s="60"/>
    </x:row>
    <x:row r="71">
      <x:c r="A71" s="60"/>
      <x:c r="B71" s="60"/>
      <x:c r="C71" s="60"/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/>
      <x:c r="P71" s="60"/>
      <x:c r="Q71" s="60"/>
      <x:c r="R71" s="60"/>
      <x:c r="S71" s="60"/>
      <x:c r="T71" s="60"/>
      <x:c r="U71" s="60"/>
      <x:c r="V71" s="60"/>
      <x:c r="W71" s="60"/>
      <x:c r="X71" s="60"/>
      <x:c r="Y71" s="60"/>
      <x:c r="Z71" s="60"/>
    </x:row>
    <x:row r="72">
      <x:c r="A72" s="60"/>
      <x:c r="B72" s="60"/>
      <x:c r="C72" s="60"/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/>
      <x:c r="P72" s="60"/>
      <x:c r="Q72" s="60"/>
      <x:c r="R72" s="60"/>
      <x:c r="S72" s="60"/>
      <x:c r="T72" s="60"/>
      <x:c r="U72" s="60"/>
      <x:c r="V72" s="60"/>
      <x:c r="W72" s="60"/>
      <x:c r="X72" s="60"/>
      <x:c r="Y72" s="60"/>
      <x:c r="Z72" s="60"/>
    </x:row>
    <x:row r="73">
      <x:c r="A73" s="60"/>
      <x:c r="B73" s="60"/>
      <x:c r="C73" s="60"/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/>
      <x:c r="P73" s="60"/>
      <x:c r="Q73" s="60"/>
      <x:c r="R73" s="60"/>
      <x:c r="S73" s="60"/>
      <x:c r="T73" s="60"/>
      <x:c r="U73" s="60"/>
      <x:c r="V73" s="60"/>
      <x:c r="W73" s="60"/>
      <x:c r="X73" s="60"/>
      <x:c r="Y73" s="60"/>
      <x:c r="Z73" s="60"/>
    </x:row>
    <x:row r="74">
      <x:c r="A74" s="60"/>
      <x:c r="B74" s="60"/>
      <x:c r="C74" s="60"/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/>
      <x:c r="P74" s="60"/>
      <x:c r="Q74" s="60"/>
      <x:c r="R74" s="60"/>
      <x:c r="S74" s="60"/>
      <x:c r="T74" s="60"/>
      <x:c r="U74" s="60"/>
      <x:c r="V74" s="60"/>
      <x:c r="W74" s="60"/>
      <x:c r="X74" s="60"/>
      <x:c r="Y74" s="60"/>
      <x:c r="Z74" s="60"/>
    </x:row>
    <x:row r="75">
      <x:c r="A75" s="60"/>
      <x:c r="B75" s="60"/>
      <x:c r="C75" s="60"/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/>
      <x:c r="P75" s="60"/>
      <x:c r="Q75" s="60"/>
      <x:c r="R75" s="60"/>
      <x:c r="S75" s="60"/>
      <x:c r="T75" s="60"/>
      <x:c r="U75" s="60"/>
      <x:c r="V75" s="60"/>
      <x:c r="W75" s="60"/>
      <x:c r="X75" s="60"/>
      <x:c r="Y75" s="60"/>
      <x:c r="Z75" s="60"/>
    </x:row>
    <x:row r="76">
      <x:c r="A76" s="60"/>
      <x:c r="B76" s="60"/>
      <x:c r="C76" s="60"/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/>
      <x:c r="P76" s="60"/>
      <x:c r="Q76" s="60"/>
      <x:c r="R76" s="60"/>
      <x:c r="S76" s="60"/>
      <x:c r="T76" s="60"/>
      <x:c r="U76" s="60"/>
      <x:c r="V76" s="60"/>
      <x:c r="W76" s="60"/>
      <x:c r="X76" s="60"/>
      <x:c r="Y76" s="60"/>
      <x:c r="Z76" s="60"/>
    </x:row>
    <x:row r="77">
      <x:c r="A77" s="60"/>
      <x:c r="B77" s="60"/>
      <x:c r="C77" s="60"/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/>
      <x:c r="P77" s="60"/>
      <x:c r="Q77" s="60"/>
      <x:c r="R77" s="60"/>
      <x:c r="S77" s="60"/>
      <x:c r="T77" s="60"/>
      <x:c r="U77" s="60"/>
      <x:c r="V77" s="60"/>
      <x:c r="W77" s="60"/>
      <x:c r="X77" s="60"/>
      <x:c r="Y77" s="60"/>
      <x:c r="Z77" s="60"/>
    </x:row>
    <x:row r="78">
      <x:c r="A78" s="60"/>
      <x:c r="B78" s="60"/>
      <x:c r="C78" s="60"/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/>
      <x:c r="P78" s="60"/>
      <x:c r="Q78" s="60"/>
      <x:c r="R78" s="60"/>
      <x:c r="S78" s="60"/>
      <x:c r="T78" s="60"/>
      <x:c r="U78" s="60"/>
      <x:c r="V78" s="60"/>
      <x:c r="W78" s="60"/>
      <x:c r="X78" s="60"/>
      <x:c r="Y78" s="60"/>
      <x:c r="Z78" s="60"/>
    </x:row>
    <x:row r="79">
      <x:c r="A79" s="60"/>
      <x:c r="B79" s="60"/>
      <x:c r="C79" s="60"/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/>
      <x:c r="P79" s="60"/>
      <x:c r="Q79" s="60"/>
      <x:c r="R79" s="60"/>
      <x:c r="S79" s="60"/>
      <x:c r="T79" s="60"/>
      <x:c r="U79" s="60"/>
      <x:c r="V79" s="60"/>
      <x:c r="W79" s="60"/>
      <x:c r="X79" s="60"/>
      <x:c r="Y79" s="60"/>
      <x:c r="Z79" s="60"/>
    </x:row>
    <x:row r="80">
      <x:c r="A80" s="60"/>
      <x:c r="B80" s="60"/>
      <x:c r="C80" s="60"/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/>
      <x:c r="P80" s="60"/>
      <x:c r="Q80" s="60"/>
      <x:c r="R80" s="60"/>
      <x:c r="S80" s="60"/>
      <x:c r="T80" s="60"/>
      <x:c r="U80" s="60"/>
      <x:c r="V80" s="60"/>
      <x:c r="W80" s="60"/>
      <x:c r="X80" s="60"/>
      <x:c r="Y80" s="60"/>
      <x:c r="Z80" s="60"/>
    </x:row>
    <x:row r="81">
      <x:c r="A81" s="60"/>
      <x:c r="B81" s="60"/>
      <x:c r="C81" s="60"/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/>
      <x:c r="P81" s="60"/>
      <x:c r="Q81" s="60"/>
      <x:c r="R81" s="60"/>
      <x:c r="S81" s="60"/>
      <x:c r="T81" s="60"/>
      <x:c r="U81" s="60"/>
      <x:c r="V81" s="60"/>
      <x:c r="W81" s="60"/>
      <x:c r="X81" s="60"/>
      <x:c r="Y81" s="60"/>
      <x:c r="Z81" s="60"/>
    </x:row>
    <x:row r="82">
      <x:c r="A82" s="60"/>
      <x:c r="B82" s="60"/>
      <x:c r="C82" s="60"/>
      <x:c r="D82" s="60"/>
      <x:c r="E82" s="60"/>
      <x:c r="F82" s="60"/>
      <x:c r="G82" s="60"/>
      <x:c r="H82" s="60"/>
      <x:c r="I82" s="60"/>
      <x:c r="J82" s="60"/>
      <x:c r="K82" s="60"/>
      <x:c r="L82" s="60"/>
      <x:c r="M82" s="60"/>
      <x:c r="N82" s="60"/>
      <x:c r="O82" s="60"/>
      <x:c r="P82" s="60"/>
      <x:c r="Q82" s="60"/>
      <x:c r="R82" s="60"/>
      <x:c r="S82" s="60"/>
      <x:c r="T82" s="60"/>
      <x:c r="U82" s="60"/>
      <x:c r="V82" s="60"/>
      <x:c r="W82" s="60"/>
      <x:c r="X82" s="60"/>
      <x:c r="Y82" s="60"/>
      <x:c r="Z82" s="60"/>
    </x:row>
    <x:row r="83">
      <x:c r="A83" s="60"/>
      <x:c r="B83" s="60"/>
      <x:c r="C83" s="60"/>
      <x:c r="D83" s="60"/>
      <x:c r="E83" s="60"/>
      <x:c r="F83" s="60"/>
      <x:c r="G83" s="60"/>
      <x:c r="H83" s="60"/>
      <x:c r="I83" s="60"/>
      <x:c r="J83" s="60"/>
      <x:c r="K83" s="60"/>
      <x:c r="L83" s="60"/>
      <x:c r="M83" s="60"/>
      <x:c r="N83" s="60"/>
      <x:c r="O83" s="60"/>
      <x:c r="P83" s="60"/>
      <x:c r="Q83" s="60"/>
      <x:c r="R83" s="60"/>
      <x:c r="S83" s="60"/>
      <x:c r="T83" s="60"/>
      <x:c r="U83" s="60"/>
      <x:c r="V83" s="60"/>
      <x:c r="W83" s="60"/>
      <x:c r="X83" s="60"/>
      <x:c r="Y83" s="60"/>
      <x:c r="Z83" s="60"/>
    </x:row>
    <x:row r="84">
      <x:c r="A84" s="60"/>
      <x:c r="B84" s="60"/>
      <x:c r="C84" s="60"/>
      <x:c r="D84" s="60"/>
      <x:c r="E84" s="60"/>
      <x:c r="F84" s="60"/>
      <x:c r="G84" s="60"/>
      <x:c r="H84" s="60"/>
      <x:c r="I84" s="60"/>
      <x:c r="J84" s="60"/>
      <x:c r="K84" s="60"/>
      <x:c r="L84" s="60"/>
      <x:c r="M84" s="60"/>
      <x:c r="N84" s="60"/>
      <x:c r="O84" s="60"/>
      <x:c r="P84" s="60"/>
      <x:c r="Q84" s="60"/>
      <x:c r="R84" s="60"/>
      <x:c r="S84" s="60"/>
      <x:c r="T84" s="60"/>
      <x:c r="U84" s="60"/>
      <x:c r="V84" s="60"/>
      <x:c r="W84" s="60"/>
      <x:c r="X84" s="60"/>
      <x:c r="Y84" s="60"/>
      <x:c r="Z84" s="60"/>
    </x:row>
    <x:row r="85">
      <x:c r="A85" s="60"/>
      <x:c r="B85" s="60"/>
      <x:c r="C85" s="60"/>
      <x:c r="D85" s="60"/>
      <x:c r="E85" s="60"/>
      <x:c r="F85" s="60"/>
      <x:c r="G85" s="60"/>
      <x:c r="H85" s="60"/>
      <x:c r="I85" s="60"/>
      <x:c r="J85" s="60"/>
      <x:c r="K85" s="60"/>
      <x:c r="L85" s="60"/>
      <x:c r="M85" s="60"/>
      <x:c r="N85" s="60"/>
      <x:c r="O85" s="60"/>
      <x:c r="P85" s="60"/>
      <x:c r="Q85" s="60"/>
      <x:c r="R85" s="60"/>
      <x:c r="S85" s="60"/>
      <x:c r="T85" s="60"/>
      <x:c r="U85" s="60"/>
      <x:c r="V85" s="60"/>
      <x:c r="W85" s="60"/>
      <x:c r="X85" s="60"/>
      <x:c r="Y85" s="60"/>
      <x:c r="Z85" s="60"/>
    </x:row>
    <x:row r="86">
      <x:c r="A86" s="60"/>
      <x:c r="B86" s="60"/>
      <x:c r="C86" s="60"/>
      <x:c r="D86" s="60"/>
      <x:c r="E86" s="60"/>
      <x:c r="F86" s="60"/>
      <x:c r="G86" s="60"/>
      <x:c r="H86" s="60"/>
      <x:c r="I86" s="60"/>
      <x:c r="J86" s="60"/>
      <x:c r="K86" s="60"/>
      <x:c r="L86" s="60"/>
      <x:c r="M86" s="60"/>
      <x:c r="N86" s="60"/>
      <x:c r="O86" s="60"/>
      <x:c r="P86" s="60"/>
      <x:c r="Q86" s="60"/>
      <x:c r="R86" s="60"/>
      <x:c r="S86" s="60"/>
      <x:c r="T86" s="60"/>
      <x:c r="U86" s="60"/>
      <x:c r="V86" s="60"/>
      <x:c r="W86" s="60"/>
      <x:c r="X86" s="60"/>
      <x:c r="Y86" s="60"/>
      <x:c r="Z86" s="60"/>
    </x:row>
    <x:row r="87">
      <x:c r="A87" s="60"/>
      <x:c r="B87" s="60"/>
      <x:c r="C87" s="60"/>
      <x:c r="D87" s="60"/>
      <x:c r="E87" s="60"/>
      <x:c r="F87" s="60"/>
      <x:c r="G87" s="60"/>
      <x:c r="H87" s="60"/>
      <x:c r="I87" s="60"/>
      <x:c r="J87" s="60"/>
      <x:c r="K87" s="60"/>
      <x:c r="L87" s="60"/>
      <x:c r="M87" s="60"/>
      <x:c r="N87" s="60"/>
      <x:c r="O87" s="60"/>
      <x:c r="P87" s="60"/>
      <x:c r="Q87" s="60"/>
      <x:c r="R87" s="60"/>
      <x:c r="S87" s="60"/>
      <x:c r="T87" s="60"/>
      <x:c r="U87" s="60"/>
      <x:c r="V87" s="60"/>
      <x:c r="W87" s="60"/>
      <x:c r="X87" s="60"/>
      <x:c r="Y87" s="60"/>
      <x:c r="Z87" s="60"/>
    </x:row>
    <x:row r="88">
      <x:c r="A88" s="60"/>
      <x:c r="B88" s="60"/>
      <x:c r="C88" s="60"/>
      <x:c r="D88" s="60"/>
      <x:c r="E88" s="60"/>
      <x:c r="F88" s="60"/>
      <x:c r="G88" s="60"/>
      <x:c r="H88" s="60"/>
      <x:c r="I88" s="60"/>
      <x:c r="J88" s="60"/>
      <x:c r="K88" s="60"/>
      <x:c r="L88" s="60"/>
      <x:c r="M88" s="60"/>
      <x:c r="N88" s="60"/>
      <x:c r="O88" s="60"/>
      <x:c r="P88" s="60"/>
      <x:c r="Q88" s="60"/>
      <x:c r="R88" s="60"/>
      <x:c r="S88" s="60"/>
      <x:c r="T88" s="60"/>
      <x:c r="U88" s="60"/>
      <x:c r="V88" s="60"/>
      <x:c r="W88" s="60"/>
      <x:c r="X88" s="60"/>
      <x:c r="Y88" s="60"/>
      <x:c r="Z88" s="60"/>
    </x:row>
    <x:row r="89">
      <x:c r="A89" s="60"/>
      <x:c r="B89" s="60"/>
      <x:c r="C89" s="60"/>
      <x:c r="D89" s="60"/>
      <x:c r="E89" s="60"/>
      <x:c r="F89" s="60"/>
      <x:c r="G89" s="60"/>
      <x:c r="H89" s="60"/>
      <x:c r="I89" s="60"/>
      <x:c r="J89" s="60"/>
      <x:c r="K89" s="60"/>
      <x:c r="L89" s="60"/>
      <x:c r="M89" s="60"/>
      <x:c r="N89" s="60"/>
      <x:c r="O89" s="60"/>
      <x:c r="P89" s="60"/>
      <x:c r="Q89" s="60"/>
      <x:c r="R89" s="60"/>
      <x:c r="S89" s="60"/>
      <x:c r="T89" s="60"/>
      <x:c r="U89" s="60"/>
      <x:c r="V89" s="60"/>
      <x:c r="W89" s="60"/>
      <x:c r="X89" s="60"/>
      <x:c r="Y89" s="60"/>
      <x:c r="Z89" s="60"/>
    </x:row>
    <x:row r="90">
      <x:c r="A90" s="60"/>
      <x:c r="B90" s="60"/>
      <x:c r="C90" s="60"/>
      <x:c r="D90" s="60"/>
      <x:c r="E90" s="60"/>
      <x:c r="F90" s="60"/>
      <x:c r="G90" s="60"/>
      <x:c r="H90" s="60"/>
      <x:c r="I90" s="60"/>
      <x:c r="J90" s="60"/>
      <x:c r="K90" s="60"/>
      <x:c r="L90" s="60"/>
      <x:c r="M90" s="60"/>
      <x:c r="N90" s="60"/>
      <x:c r="O90" s="60"/>
      <x:c r="P90" s="60"/>
      <x:c r="Q90" s="60"/>
      <x:c r="R90" s="60"/>
      <x:c r="S90" s="60"/>
      <x:c r="T90" s="60"/>
      <x:c r="U90" s="60"/>
      <x:c r="V90" s="60"/>
      <x:c r="W90" s="60"/>
      <x:c r="X90" s="60"/>
      <x:c r="Y90" s="60"/>
      <x:c r="Z90" s="60"/>
    </x:row>
    <x:row r="91">
      <x:c r="A91" s="60"/>
      <x:c r="B91" s="60"/>
      <x:c r="C91" s="60"/>
      <x:c r="D91" s="60"/>
      <x:c r="E91" s="60"/>
      <x:c r="F91" s="60"/>
      <x:c r="G91" s="60"/>
      <x:c r="H91" s="60"/>
      <x:c r="I91" s="60"/>
      <x:c r="J91" s="60"/>
      <x:c r="K91" s="60"/>
      <x:c r="L91" s="60"/>
      <x:c r="M91" s="60"/>
      <x:c r="N91" s="60"/>
      <x:c r="O91" s="60"/>
      <x:c r="P91" s="60"/>
      <x:c r="Q91" s="60"/>
      <x:c r="R91" s="60"/>
      <x:c r="S91" s="60"/>
      <x:c r="T91" s="60"/>
      <x:c r="U91" s="60"/>
      <x:c r="V91" s="60"/>
      <x:c r="W91" s="60"/>
      <x:c r="X91" s="60"/>
      <x:c r="Y91" s="60"/>
      <x:c r="Z91" s="60"/>
    </x:row>
    <x:row r="92">
      <x:c r="A92" s="60"/>
      <x:c r="B92" s="60"/>
      <x:c r="C92" s="60"/>
      <x:c r="D92" s="60"/>
      <x:c r="E92" s="60"/>
      <x:c r="F92" s="60"/>
      <x:c r="G92" s="60"/>
      <x:c r="H92" s="60"/>
      <x:c r="I92" s="60"/>
      <x:c r="J92" s="60"/>
      <x:c r="K92" s="60"/>
      <x:c r="L92" s="60"/>
      <x:c r="M92" s="60"/>
      <x:c r="N92" s="60"/>
      <x:c r="O92" s="60"/>
      <x:c r="P92" s="60"/>
      <x:c r="Q92" s="60"/>
      <x:c r="R92" s="60"/>
      <x:c r="S92" s="60"/>
      <x:c r="T92" s="60"/>
      <x:c r="U92" s="60"/>
      <x:c r="V92" s="60"/>
      <x:c r="W92" s="60"/>
      <x:c r="X92" s="60"/>
      <x:c r="Y92" s="60"/>
      <x:c r="Z92" s="60"/>
    </x:row>
    <x:row r="93">
      <x:c r="A93" s="60"/>
      <x:c r="B93" s="60"/>
      <x:c r="C93" s="60"/>
      <x:c r="D93" s="60"/>
      <x:c r="E93" s="60"/>
      <x:c r="F93" s="60"/>
      <x:c r="G93" s="60"/>
      <x:c r="H93" s="60"/>
      <x:c r="I93" s="60"/>
      <x:c r="J93" s="60"/>
      <x:c r="K93" s="60"/>
      <x:c r="L93" s="60"/>
      <x:c r="M93" s="60"/>
      <x:c r="N93" s="60"/>
      <x:c r="O93" s="60"/>
      <x:c r="P93" s="60"/>
      <x:c r="Q93" s="60"/>
      <x:c r="R93" s="60"/>
      <x:c r="S93" s="60"/>
      <x:c r="T93" s="60"/>
      <x:c r="U93" s="60"/>
      <x:c r="V93" s="60"/>
      <x:c r="W93" s="60"/>
      <x:c r="X93" s="60"/>
      <x:c r="Y93" s="60"/>
      <x:c r="Z93" s="60"/>
    </x:row>
    <x:row r="94">
      <x:c r="A94" s="60"/>
      <x:c r="B94" s="60"/>
      <x:c r="C94" s="60"/>
      <x:c r="D94" s="60"/>
      <x:c r="E94" s="60"/>
      <x:c r="F94" s="60"/>
      <x:c r="G94" s="60"/>
      <x:c r="H94" s="60"/>
      <x:c r="I94" s="60"/>
      <x:c r="J94" s="60"/>
      <x:c r="K94" s="60"/>
      <x:c r="L94" s="60"/>
      <x:c r="M94" s="60"/>
      <x:c r="N94" s="60"/>
      <x:c r="O94" s="60"/>
      <x:c r="P94" s="60"/>
      <x:c r="Q94" s="60"/>
      <x:c r="R94" s="60"/>
      <x:c r="S94" s="60"/>
      <x:c r="T94" s="60"/>
      <x:c r="U94" s="60"/>
      <x:c r="V94" s="60"/>
      <x:c r="W94" s="60"/>
      <x:c r="X94" s="60"/>
      <x:c r="Y94" s="60"/>
      <x:c r="Z94" s="60"/>
    </x:row>
    <x:row r="95">
      <x:c r="A95" s="60"/>
      <x:c r="B95" s="60"/>
      <x:c r="C95" s="60"/>
      <x:c r="D95" s="60"/>
      <x:c r="E95" s="60"/>
      <x:c r="F95" s="60"/>
      <x:c r="G95" s="60"/>
      <x:c r="H95" s="60"/>
      <x:c r="I95" s="60"/>
      <x:c r="J95" s="60"/>
      <x:c r="K95" s="60"/>
      <x:c r="L95" s="60"/>
      <x:c r="M95" s="60"/>
      <x:c r="N95" s="60"/>
      <x:c r="O95" s="60"/>
      <x:c r="P95" s="60"/>
      <x:c r="Q95" s="60"/>
      <x:c r="R95" s="60"/>
      <x:c r="S95" s="60"/>
      <x:c r="T95" s="60"/>
      <x:c r="U95" s="60"/>
      <x:c r="V95" s="60"/>
      <x:c r="W95" s="60"/>
      <x:c r="X95" s="60"/>
      <x:c r="Y95" s="60"/>
      <x:c r="Z95" s="60"/>
    </x:row>
    <x:row r="96">
      <x:c r="A96" s="60"/>
      <x:c r="B96" s="60"/>
      <x:c r="C96" s="60"/>
      <x:c r="D96" s="60"/>
      <x:c r="E96" s="60"/>
      <x:c r="F96" s="60"/>
      <x:c r="G96" s="60"/>
      <x:c r="H96" s="60"/>
      <x:c r="I96" s="60"/>
      <x:c r="J96" s="60"/>
      <x:c r="K96" s="60"/>
      <x:c r="L96" s="60"/>
      <x:c r="M96" s="60"/>
      <x:c r="N96" s="60"/>
      <x:c r="O96" s="60"/>
      <x:c r="P96" s="60"/>
      <x:c r="Q96" s="60"/>
      <x:c r="R96" s="60"/>
      <x:c r="S96" s="60"/>
      <x:c r="T96" s="60"/>
      <x:c r="U96" s="60"/>
      <x:c r="V96" s="60"/>
      <x:c r="W96" s="60"/>
      <x:c r="X96" s="60"/>
      <x:c r="Y96" s="60"/>
      <x:c r="Z96" s="60"/>
    </x:row>
    <x:row r="97">
      <x:c r="A97" s="60"/>
      <x:c r="B97" s="60"/>
      <x:c r="C97" s="60"/>
      <x:c r="D97" s="60"/>
      <x:c r="E97" s="60"/>
      <x:c r="F97" s="60"/>
      <x:c r="G97" s="60"/>
      <x:c r="H97" s="60"/>
      <x:c r="I97" s="60"/>
      <x:c r="J97" s="60"/>
      <x:c r="K97" s="60"/>
      <x:c r="L97" s="60"/>
      <x:c r="M97" s="60"/>
      <x:c r="N97" s="60"/>
      <x:c r="O97" s="60"/>
      <x:c r="P97" s="60"/>
      <x:c r="Q97" s="60"/>
      <x:c r="R97" s="60"/>
      <x:c r="S97" s="60"/>
      <x:c r="T97" s="60"/>
      <x:c r="U97" s="60"/>
      <x:c r="V97" s="60"/>
      <x:c r="W97" s="60"/>
      <x:c r="X97" s="60"/>
      <x:c r="Y97" s="60"/>
      <x:c r="Z97" s="60"/>
    </x:row>
    <x:row r="98">
      <x:c r="A98" s="60"/>
      <x:c r="B98" s="60"/>
      <x:c r="C98" s="60"/>
      <x:c r="D98" s="60"/>
      <x:c r="E98" s="60"/>
      <x:c r="F98" s="60"/>
      <x:c r="G98" s="60"/>
      <x:c r="H98" s="60"/>
      <x:c r="I98" s="60"/>
      <x:c r="J98" s="60"/>
      <x:c r="K98" s="60"/>
      <x:c r="L98" s="60"/>
      <x:c r="M98" s="60"/>
      <x:c r="N98" s="60"/>
      <x:c r="O98" s="60"/>
      <x:c r="P98" s="60"/>
      <x:c r="Q98" s="60"/>
      <x:c r="R98" s="60"/>
      <x:c r="S98" s="60"/>
      <x:c r="T98" s="60"/>
      <x:c r="U98" s="60"/>
      <x:c r="V98" s="60"/>
      <x:c r="W98" s="60"/>
      <x:c r="X98" s="60"/>
      <x:c r="Y98" s="60"/>
      <x:c r="Z98" s="60"/>
    </x:row>
    <x:row r="99">
      <x:c r="A99" s="60"/>
      <x:c r="B99" s="60"/>
      <x:c r="C99" s="60"/>
      <x:c r="D99" s="60"/>
      <x:c r="E99" s="60"/>
      <x:c r="F99" s="60"/>
      <x:c r="G99" s="60"/>
      <x:c r="H99" s="60"/>
      <x:c r="I99" s="60"/>
      <x:c r="J99" s="60"/>
      <x:c r="K99" s="60"/>
      <x:c r="L99" s="60"/>
      <x:c r="M99" s="60"/>
      <x:c r="N99" s="60"/>
      <x:c r="O99" s="60"/>
      <x:c r="P99" s="60"/>
      <x:c r="Q99" s="60"/>
      <x:c r="R99" s="60"/>
      <x:c r="S99" s="60"/>
      <x:c r="T99" s="60"/>
      <x:c r="U99" s="60"/>
      <x:c r="V99" s="60"/>
      <x:c r="W99" s="60"/>
      <x:c r="X99" s="60"/>
      <x:c r="Y99" s="60"/>
      <x:c r="Z99" s="60"/>
    </x:row>
    <x:row r="100">
      <x:c r="A100" s="60"/>
      <x:c r="B100" s="60"/>
      <x:c r="C100" s="60"/>
      <x:c r="D100" s="60"/>
      <x:c r="E100" s="60"/>
      <x:c r="F100" s="60"/>
      <x:c r="G100" s="60"/>
      <x:c r="H100" s="60"/>
      <x:c r="I100" s="60"/>
      <x:c r="J100" s="60"/>
      <x:c r="K100" s="60"/>
      <x:c r="L100" s="60"/>
      <x:c r="M100" s="60"/>
      <x:c r="N100" s="60"/>
      <x:c r="O100" s="60"/>
      <x:c r="P100" s="60"/>
      <x:c r="Q100" s="60"/>
      <x:c r="R100" s="60"/>
      <x:c r="S100" s="60"/>
      <x:c r="T100" s="60"/>
      <x:c r="U100" s="60"/>
      <x:c r="V100" s="60"/>
      <x:c r="W100" s="60"/>
      <x:c r="X100" s="60"/>
      <x:c r="Y100" s="60"/>
      <x:c r="Z100" s="60"/>
    </x:row>
    <x:row r="101">
      <x:c r="A101" s="60"/>
      <x:c r="B101" s="60"/>
      <x:c r="C101" s="60"/>
      <x:c r="D101" s="60"/>
      <x:c r="E101" s="60"/>
      <x:c r="F101" s="60"/>
      <x:c r="G101" s="60"/>
      <x:c r="H101" s="60"/>
      <x:c r="I101" s="60"/>
      <x:c r="J101" s="60"/>
      <x:c r="K101" s="60"/>
      <x:c r="L101" s="60"/>
      <x:c r="M101" s="60"/>
      <x:c r="N101" s="60"/>
      <x:c r="O101" s="60"/>
      <x:c r="P101" s="60"/>
      <x:c r="Q101" s="60"/>
      <x:c r="R101" s="60"/>
      <x:c r="S101" s="60"/>
      <x:c r="T101" s="60"/>
      <x:c r="U101" s="60"/>
      <x:c r="V101" s="60"/>
      <x:c r="W101" s="60"/>
      <x:c r="X101" s="60"/>
      <x:c r="Y101" s="60"/>
      <x:c r="Z101" s="60"/>
    </x:row>
    <x:row r="102">
      <x:c r="A102" s="60"/>
      <x:c r="B102" s="60"/>
      <x:c r="C102" s="60"/>
      <x:c r="D102" s="60"/>
      <x:c r="E102" s="60"/>
      <x:c r="F102" s="60"/>
      <x:c r="G102" s="60"/>
      <x:c r="H102" s="60"/>
      <x:c r="I102" s="60"/>
      <x:c r="J102" s="60"/>
      <x:c r="K102" s="60"/>
      <x:c r="L102" s="60"/>
      <x:c r="M102" s="60"/>
      <x:c r="N102" s="60"/>
      <x:c r="O102" s="60"/>
      <x:c r="P102" s="60"/>
      <x:c r="Q102" s="60"/>
      <x:c r="R102" s="60"/>
      <x:c r="S102" s="60"/>
      <x:c r="T102" s="60"/>
      <x:c r="U102" s="60"/>
      <x:c r="V102" s="60"/>
      <x:c r="W102" s="60"/>
      <x:c r="X102" s="60"/>
      <x:c r="Y102" s="60"/>
      <x:c r="Z102" s="60"/>
    </x:row>
    <x:row r="103">
      <x:c r="A103" s="60"/>
      <x:c r="B103" s="60"/>
      <x:c r="C103" s="60"/>
      <x:c r="D103" s="60"/>
      <x:c r="E103" s="60"/>
      <x:c r="F103" s="60"/>
      <x:c r="G103" s="60"/>
      <x:c r="H103" s="60"/>
      <x:c r="I103" s="60"/>
      <x:c r="J103" s="60"/>
      <x:c r="K103" s="60"/>
      <x:c r="L103" s="60"/>
      <x:c r="M103" s="60"/>
      <x:c r="N103" s="60"/>
      <x:c r="O103" s="60"/>
      <x:c r="P103" s="60"/>
      <x:c r="Q103" s="60"/>
      <x:c r="R103" s="60"/>
      <x:c r="S103" s="60"/>
      <x:c r="T103" s="60"/>
      <x:c r="U103" s="60"/>
      <x:c r="V103" s="60"/>
      <x:c r="W103" s="60"/>
      <x:c r="X103" s="60"/>
      <x:c r="Y103" s="60"/>
      <x:c r="Z103" s="60"/>
    </x:row>
    <x:row r="104">
      <x:c r="A104" s="60"/>
      <x:c r="B104" s="60"/>
      <x:c r="C104" s="60"/>
      <x:c r="D104" s="60"/>
      <x:c r="E104" s="60"/>
      <x:c r="F104" s="60"/>
      <x:c r="G104" s="60"/>
      <x:c r="H104" s="60"/>
      <x:c r="I104" s="60"/>
      <x:c r="J104" s="60"/>
      <x:c r="K104" s="60"/>
      <x:c r="L104" s="60"/>
      <x:c r="M104" s="60"/>
      <x:c r="N104" s="60"/>
      <x:c r="O104" s="60"/>
      <x:c r="P104" s="60"/>
      <x:c r="Q104" s="60"/>
      <x:c r="R104" s="60"/>
      <x:c r="S104" s="60"/>
      <x:c r="T104" s="60"/>
      <x:c r="U104" s="60"/>
      <x:c r="V104" s="60"/>
      <x:c r="W104" s="60"/>
      <x:c r="X104" s="60"/>
      <x:c r="Y104" s="60"/>
      <x:c r="Z104" s="60"/>
    </x:row>
    <x:row r="105">
      <x:c r="A105" s="60"/>
      <x:c r="B105" s="60"/>
      <x:c r="C105" s="60"/>
      <x:c r="D105" s="60"/>
      <x:c r="E105" s="60"/>
      <x:c r="F105" s="60"/>
      <x:c r="G105" s="60"/>
      <x:c r="H105" s="60"/>
      <x:c r="I105" s="60"/>
      <x:c r="J105" s="60"/>
      <x:c r="K105" s="60"/>
      <x:c r="L105" s="60"/>
      <x:c r="M105" s="60"/>
      <x:c r="N105" s="60"/>
      <x:c r="O105" s="60"/>
      <x:c r="P105" s="60"/>
      <x:c r="Q105" s="60"/>
      <x:c r="R105" s="60"/>
      <x:c r="S105" s="60"/>
      <x:c r="T105" s="60"/>
      <x:c r="U105" s="60"/>
      <x:c r="V105" s="60"/>
      <x:c r="W105" s="60"/>
      <x:c r="X105" s="60"/>
      <x:c r="Y105" s="60"/>
      <x:c r="Z105" s="60"/>
    </x:row>
    <x:row r="106">
      <x:c r="A106" s="60"/>
      <x:c r="B106" s="60"/>
      <x:c r="C106" s="60"/>
      <x:c r="D106" s="60"/>
      <x:c r="E106" s="60"/>
      <x:c r="F106" s="60"/>
      <x:c r="G106" s="60"/>
      <x:c r="H106" s="60"/>
      <x:c r="I106" s="60"/>
      <x:c r="J106" s="60"/>
      <x:c r="K106" s="60"/>
      <x:c r="L106" s="60"/>
      <x:c r="M106" s="60"/>
      <x:c r="N106" s="60"/>
      <x:c r="O106" s="60"/>
      <x:c r="P106" s="60"/>
      <x:c r="Q106" s="60"/>
      <x:c r="R106" s="60"/>
      <x:c r="S106" s="60"/>
      <x:c r="T106" s="60"/>
      <x:c r="U106" s="60"/>
      <x:c r="V106" s="60"/>
      <x:c r="W106" s="60"/>
      <x:c r="X106" s="60"/>
      <x:c r="Y106" s="60"/>
      <x:c r="Z106" s="60"/>
    </x:row>
    <x:row r="107">
      <x:c r="A107" s="60"/>
      <x:c r="B107" s="60"/>
      <x:c r="C107" s="60"/>
      <x:c r="D107" s="60"/>
      <x:c r="E107" s="60"/>
      <x:c r="F107" s="60"/>
      <x:c r="G107" s="60"/>
      <x:c r="H107" s="60"/>
      <x:c r="I107" s="60"/>
      <x:c r="J107" s="60"/>
      <x:c r="K107" s="60"/>
      <x:c r="L107" s="60"/>
      <x:c r="M107" s="60"/>
      <x:c r="N107" s="60"/>
      <x:c r="O107" s="60"/>
      <x:c r="P107" s="60"/>
      <x:c r="Q107" s="60"/>
      <x:c r="R107" s="60"/>
      <x:c r="S107" s="60"/>
      <x:c r="T107" s="60"/>
      <x:c r="U107" s="60"/>
      <x:c r="V107" s="60"/>
      <x:c r="W107" s="60"/>
      <x:c r="X107" s="60"/>
      <x:c r="Y107" s="60"/>
      <x:c r="Z107" s="60"/>
    </x:row>
    <x:row r="108">
      <x:c r="A108" s="60"/>
      <x:c r="B108" s="60"/>
      <x:c r="C108" s="60"/>
      <x:c r="D108" s="60"/>
      <x:c r="E108" s="60"/>
      <x:c r="F108" s="60"/>
      <x:c r="G108" s="60"/>
      <x:c r="H108" s="60"/>
      <x:c r="I108" s="60"/>
      <x:c r="J108" s="60"/>
      <x:c r="K108" s="60"/>
      <x:c r="L108" s="60"/>
      <x:c r="M108" s="60"/>
      <x:c r="N108" s="60"/>
      <x:c r="O108" s="60"/>
      <x:c r="P108" s="60"/>
      <x:c r="Q108" s="60"/>
      <x:c r="R108" s="60"/>
      <x:c r="S108" s="60"/>
      <x:c r="T108" s="60"/>
      <x:c r="U108" s="60"/>
      <x:c r="V108" s="60"/>
      <x:c r="W108" s="60"/>
      <x:c r="X108" s="60"/>
      <x:c r="Y108" s="60"/>
      <x:c r="Z108" s="60"/>
    </x:row>
    <x:row r="109">
      <x:c r="A109" s="60"/>
      <x:c r="B109" s="60"/>
      <x:c r="C109" s="60"/>
      <x:c r="D109" s="60"/>
      <x:c r="E109" s="60"/>
      <x:c r="F109" s="60"/>
      <x:c r="G109" s="60"/>
      <x:c r="H109" s="60"/>
      <x:c r="I109" s="60"/>
      <x:c r="J109" s="60"/>
      <x:c r="K109" s="60"/>
      <x:c r="L109" s="60"/>
      <x:c r="M109" s="60"/>
      <x:c r="N109" s="60"/>
      <x:c r="O109" s="60"/>
      <x:c r="P109" s="60"/>
      <x:c r="Q109" s="60"/>
      <x:c r="R109" s="60"/>
      <x:c r="S109" s="60"/>
      <x:c r="T109" s="60"/>
      <x:c r="U109" s="60"/>
      <x:c r="V109" s="60"/>
      <x:c r="W109" s="60"/>
      <x:c r="X109" s="60"/>
      <x:c r="Y109" s="60"/>
      <x:c r="Z109" s="60"/>
    </x:row>
    <x:row r="110">
      <x:c r="A110" s="60"/>
      <x:c r="B110" s="60"/>
      <x:c r="C110" s="60"/>
      <x:c r="D110" s="60"/>
      <x:c r="E110" s="60"/>
      <x:c r="F110" s="60"/>
      <x:c r="G110" s="60"/>
      <x:c r="H110" s="60"/>
      <x:c r="I110" s="60"/>
      <x:c r="J110" s="60"/>
      <x:c r="K110" s="60"/>
      <x:c r="L110" s="60"/>
      <x:c r="M110" s="60"/>
      <x:c r="N110" s="60"/>
      <x:c r="O110" s="60"/>
      <x:c r="P110" s="60"/>
      <x:c r="Q110" s="60"/>
      <x:c r="R110" s="60"/>
      <x:c r="S110" s="60"/>
      <x:c r="T110" s="60"/>
      <x:c r="U110" s="60"/>
      <x:c r="V110" s="60"/>
      <x:c r="W110" s="60"/>
      <x:c r="X110" s="60"/>
      <x:c r="Y110" s="60"/>
      <x:c r="Z110" s="60"/>
    </x:row>
    <x:row r="111">
      <x:c r="A111" s="60"/>
      <x:c r="B111" s="60"/>
      <x:c r="C111" s="60"/>
      <x:c r="D111" s="60"/>
      <x:c r="E111" s="60"/>
      <x:c r="F111" s="60"/>
      <x:c r="G111" s="60"/>
      <x:c r="H111" s="60"/>
      <x:c r="I111" s="60"/>
      <x:c r="J111" s="60"/>
      <x:c r="K111" s="60"/>
      <x:c r="L111" s="60"/>
      <x:c r="M111" s="60"/>
      <x:c r="N111" s="60"/>
      <x:c r="O111" s="60"/>
      <x:c r="P111" s="60"/>
      <x:c r="Q111" s="60"/>
      <x:c r="R111" s="60"/>
      <x:c r="S111" s="60"/>
      <x:c r="T111" s="60"/>
      <x:c r="U111" s="60"/>
      <x:c r="V111" s="60"/>
      <x:c r="W111" s="60"/>
      <x:c r="X111" s="60"/>
      <x:c r="Y111" s="60"/>
      <x:c r="Z111" s="60"/>
    </x:row>
    <x:row r="112">
      <x:c r="A112" s="60"/>
      <x:c r="B112" s="60"/>
      <x:c r="C112" s="60"/>
      <x:c r="D112" s="60"/>
      <x:c r="E112" s="60"/>
      <x:c r="F112" s="60"/>
      <x:c r="G112" s="60"/>
      <x:c r="H112" s="60"/>
      <x:c r="I112" s="60"/>
      <x:c r="J112" s="60"/>
      <x:c r="K112" s="60"/>
      <x:c r="L112" s="60"/>
      <x:c r="M112" s="60"/>
      <x:c r="N112" s="60"/>
      <x:c r="O112" s="60"/>
      <x:c r="P112" s="60"/>
      <x:c r="Q112" s="60"/>
      <x:c r="R112" s="60"/>
      <x:c r="S112" s="60"/>
      <x:c r="T112" s="60"/>
      <x:c r="U112" s="60"/>
      <x:c r="V112" s="60"/>
      <x:c r="W112" s="60"/>
      <x:c r="X112" s="60"/>
      <x:c r="Y112" s="60"/>
      <x:c r="Z112" s="60"/>
    </x:row>
    <x:row r="113">
      <x:c r="A113" s="60"/>
      <x:c r="B113" s="60"/>
      <x:c r="C113" s="60"/>
      <x:c r="D113" s="60"/>
      <x:c r="E113" s="60"/>
      <x:c r="F113" s="60"/>
      <x:c r="G113" s="60"/>
      <x:c r="H113" s="60"/>
      <x:c r="I113" s="60"/>
      <x:c r="J113" s="60"/>
      <x:c r="K113" s="60"/>
      <x:c r="L113" s="60"/>
      <x:c r="M113" s="60"/>
      <x:c r="N113" s="60"/>
      <x:c r="O113" s="60"/>
      <x:c r="P113" s="60"/>
      <x:c r="Q113" s="60"/>
      <x:c r="R113" s="60"/>
      <x:c r="S113" s="60"/>
      <x:c r="T113" s="60"/>
      <x:c r="U113" s="60"/>
      <x:c r="V113" s="60"/>
      <x:c r="W113" s="60"/>
      <x:c r="X113" s="60"/>
      <x:c r="Y113" s="60"/>
      <x:c r="Z113" s="60"/>
    </x:row>
    <x:row r="114">
      <x:c r="A114" s="60"/>
      <x:c r="B114" s="60"/>
      <x:c r="C114" s="60"/>
      <x:c r="D114" s="60"/>
      <x:c r="E114" s="60"/>
      <x:c r="F114" s="60"/>
      <x:c r="G114" s="60"/>
      <x:c r="H114" s="60"/>
      <x:c r="I114" s="60"/>
      <x:c r="J114" s="60"/>
      <x:c r="K114" s="60"/>
      <x:c r="L114" s="60"/>
      <x:c r="M114" s="60"/>
      <x:c r="N114" s="60"/>
      <x:c r="O114" s="60"/>
      <x:c r="P114" s="60"/>
      <x:c r="Q114" s="60"/>
      <x:c r="R114" s="60"/>
      <x:c r="S114" s="60"/>
      <x:c r="T114" s="60"/>
      <x:c r="U114" s="60"/>
      <x:c r="V114" s="60"/>
      <x:c r="W114" s="60"/>
      <x:c r="X114" s="60"/>
      <x:c r="Y114" s="60"/>
      <x:c r="Z114" s="60"/>
    </x:row>
    <x:row r="115">
      <x:c r="A115" s="60"/>
      <x:c r="B115" s="60"/>
      <x:c r="C115" s="60"/>
      <x:c r="D115" s="60"/>
      <x:c r="E115" s="60"/>
      <x:c r="F115" s="60"/>
      <x:c r="G115" s="60"/>
      <x:c r="H115" s="60"/>
      <x:c r="I115" s="60"/>
      <x:c r="J115" s="60"/>
      <x:c r="K115" s="60"/>
      <x:c r="L115" s="60"/>
      <x:c r="M115" s="60"/>
      <x:c r="N115" s="60"/>
      <x:c r="O115" s="60"/>
      <x:c r="P115" s="60"/>
      <x:c r="Q115" s="60"/>
      <x:c r="R115" s="60"/>
      <x:c r="S115" s="60"/>
      <x:c r="T115" s="60"/>
      <x:c r="U115" s="60"/>
      <x:c r="V115" s="60"/>
      <x:c r="W115" s="60"/>
      <x:c r="X115" s="60"/>
      <x:c r="Y115" s="60"/>
      <x:c r="Z115" s="60"/>
    </x:row>
    <x:row r="116">
      <x:c r="A116" s="60"/>
      <x:c r="B116" s="60"/>
      <x:c r="C116" s="60"/>
      <x:c r="D116" s="60"/>
      <x:c r="E116" s="60"/>
      <x:c r="F116" s="60"/>
      <x:c r="G116" s="60"/>
      <x:c r="H116" s="60"/>
      <x:c r="I116" s="60"/>
      <x:c r="J116" s="60"/>
      <x:c r="K116" s="60"/>
      <x:c r="L116" s="60"/>
      <x:c r="M116" s="60"/>
      <x:c r="N116" s="60"/>
      <x:c r="O116" s="60"/>
      <x:c r="P116" s="60"/>
      <x:c r="Q116" s="60"/>
      <x:c r="R116" s="60"/>
      <x:c r="S116" s="60"/>
      <x:c r="T116" s="60"/>
      <x:c r="U116" s="60"/>
      <x:c r="V116" s="60"/>
      <x:c r="W116" s="60"/>
      <x:c r="X116" s="60"/>
      <x:c r="Y116" s="60"/>
      <x:c r="Z116" s="60"/>
    </x:row>
    <x:row r="117">
      <x:c r="A117" s="60"/>
      <x:c r="B117" s="60"/>
      <x:c r="C117" s="60"/>
      <x:c r="D117" s="60"/>
      <x:c r="E117" s="60"/>
      <x:c r="F117" s="60"/>
      <x:c r="G117" s="60"/>
      <x:c r="H117" s="60"/>
      <x:c r="I117" s="60"/>
      <x:c r="J117" s="60"/>
      <x:c r="K117" s="60"/>
      <x:c r="L117" s="60"/>
      <x:c r="M117" s="60"/>
      <x:c r="N117" s="60"/>
      <x:c r="O117" s="60"/>
      <x:c r="P117" s="60"/>
      <x:c r="Q117" s="60"/>
      <x:c r="R117" s="60"/>
      <x:c r="S117" s="60"/>
      <x:c r="T117" s="60"/>
      <x:c r="U117" s="60"/>
      <x:c r="V117" s="60"/>
      <x:c r="W117" s="60"/>
      <x:c r="X117" s="60"/>
      <x:c r="Y117" s="60"/>
      <x:c r="Z117" s="60"/>
    </x:row>
    <x:row r="118">
      <x:c r="A118" s="60"/>
      <x:c r="B118" s="60"/>
      <x:c r="C118" s="60"/>
      <x:c r="D118" s="60"/>
      <x:c r="E118" s="60"/>
      <x:c r="F118" s="60"/>
      <x:c r="G118" s="60"/>
      <x:c r="H118" s="60"/>
      <x:c r="I118" s="60"/>
      <x:c r="J118" s="60"/>
      <x:c r="K118" s="60"/>
      <x:c r="L118" s="60"/>
      <x:c r="M118" s="60"/>
      <x:c r="N118" s="60"/>
      <x:c r="O118" s="60"/>
      <x:c r="P118" s="60"/>
      <x:c r="Q118" s="60"/>
      <x:c r="R118" s="60"/>
      <x:c r="S118" s="60"/>
      <x:c r="T118" s="60"/>
      <x:c r="U118" s="60"/>
      <x:c r="V118" s="60"/>
      <x:c r="W118" s="60"/>
      <x:c r="X118" s="60"/>
      <x:c r="Y118" s="60"/>
      <x:c r="Z118" s="60"/>
    </x:row>
    <x:row r="119">
      <x:c r="A119" s="60"/>
      <x:c r="B119" s="60"/>
      <x:c r="C119" s="60"/>
      <x:c r="D119" s="60"/>
      <x:c r="E119" s="60"/>
      <x:c r="F119" s="60"/>
      <x:c r="G119" s="60"/>
      <x:c r="H119" s="60"/>
      <x:c r="I119" s="60"/>
      <x:c r="J119" s="60"/>
      <x:c r="K119" s="60"/>
      <x:c r="L119" s="60"/>
      <x:c r="M119" s="60"/>
      <x:c r="N119" s="60"/>
      <x:c r="O119" s="60"/>
      <x:c r="P119" s="60"/>
      <x:c r="Q119" s="60"/>
      <x:c r="R119" s="60"/>
      <x:c r="S119" s="60"/>
      <x:c r="T119" s="60"/>
      <x:c r="U119" s="60"/>
      <x:c r="V119" s="60"/>
      <x:c r="W119" s="60"/>
      <x:c r="X119" s="60"/>
      <x:c r="Y119" s="60"/>
      <x:c r="Z119" s="60"/>
    </x:row>
    <x:row r="120">
      <x:c r="A120" s="60"/>
      <x:c r="B120" s="60"/>
      <x:c r="C120" s="60"/>
      <x:c r="D120" s="60"/>
      <x:c r="E120" s="60"/>
      <x:c r="F120" s="60"/>
      <x:c r="G120" s="60"/>
      <x:c r="H120" s="60"/>
      <x:c r="I120" s="60"/>
      <x:c r="J120" s="60"/>
      <x:c r="K120" s="60"/>
      <x:c r="L120" s="60"/>
      <x:c r="M120" s="60"/>
      <x:c r="N120" s="60"/>
      <x:c r="O120" s="60"/>
      <x:c r="P120" s="60"/>
      <x:c r="Q120" s="60"/>
      <x:c r="R120" s="60"/>
      <x:c r="S120" s="60"/>
      <x:c r="T120" s="60"/>
      <x:c r="U120" s="60"/>
      <x:c r="V120" s="60"/>
      <x:c r="W120" s="60"/>
      <x:c r="X120" s="60"/>
      <x:c r="Y120" s="60"/>
      <x:c r="Z120" s="60"/>
    </x:row>
    <x:row r="121">
      <x:c r="A121" s="60"/>
      <x:c r="B121" s="60"/>
      <x:c r="C121" s="60"/>
      <x:c r="D121" s="60"/>
      <x:c r="E121" s="60"/>
      <x:c r="F121" s="60"/>
      <x:c r="G121" s="60"/>
      <x:c r="H121" s="60"/>
      <x:c r="I121" s="60"/>
      <x:c r="J121" s="60"/>
      <x:c r="K121" s="60"/>
      <x:c r="L121" s="60"/>
      <x:c r="M121" s="60"/>
      <x:c r="N121" s="60"/>
      <x:c r="O121" s="60"/>
      <x:c r="P121" s="60"/>
      <x:c r="Q121" s="60"/>
      <x:c r="R121" s="60"/>
      <x:c r="S121" s="60"/>
      <x:c r="T121" s="60"/>
      <x:c r="U121" s="60"/>
      <x:c r="V121" s="60"/>
      <x:c r="W121" s="60"/>
      <x:c r="X121" s="60"/>
      <x:c r="Y121" s="60"/>
      <x:c r="Z121" s="60"/>
    </x:row>
    <x:row r="122">
      <x:c r="A122" s="60"/>
      <x:c r="B122" s="60"/>
      <x:c r="C122" s="60"/>
      <x:c r="D122" s="60"/>
      <x:c r="E122" s="60"/>
      <x:c r="F122" s="60"/>
      <x:c r="G122" s="60"/>
      <x:c r="H122" s="60"/>
      <x:c r="I122" s="60"/>
      <x:c r="J122" s="60"/>
      <x:c r="K122" s="60"/>
      <x:c r="L122" s="60"/>
      <x:c r="M122" s="60"/>
      <x:c r="N122" s="60"/>
      <x:c r="O122" s="60"/>
      <x:c r="P122" s="60"/>
      <x:c r="Q122" s="60"/>
      <x:c r="R122" s="60"/>
      <x:c r="S122" s="60"/>
      <x:c r="T122" s="60"/>
      <x:c r="U122" s="60"/>
      <x:c r="V122" s="60"/>
      <x:c r="W122" s="60"/>
      <x:c r="X122" s="60"/>
      <x:c r="Y122" s="60"/>
      <x:c r="Z122" s="60"/>
    </x:row>
    <x:row r="123">
      <x:c r="A123" s="60"/>
      <x:c r="B123" s="60"/>
      <x:c r="C123" s="60"/>
      <x:c r="D123" s="60"/>
      <x:c r="E123" s="60"/>
      <x:c r="F123" s="60"/>
      <x:c r="G123" s="60"/>
      <x:c r="H123" s="60"/>
      <x:c r="I123" s="60"/>
      <x:c r="J123" s="60"/>
      <x:c r="K123" s="60"/>
      <x:c r="L123" s="60"/>
      <x:c r="M123" s="60"/>
      <x:c r="N123" s="60"/>
      <x:c r="O123" s="60"/>
      <x:c r="P123" s="60"/>
      <x:c r="Q123" s="60"/>
      <x:c r="R123" s="60"/>
      <x:c r="S123" s="60"/>
      <x:c r="T123" s="60"/>
      <x:c r="U123" s="60"/>
      <x:c r="V123" s="60"/>
      <x:c r="W123" s="60"/>
      <x:c r="X123" s="60"/>
      <x:c r="Y123" s="60"/>
      <x:c r="Z123" s="60"/>
    </x:row>
    <x:row r="124">
      <x:c r="A124" s="60"/>
      <x:c r="B124" s="60"/>
      <x:c r="C124" s="60"/>
      <x:c r="D124" s="60"/>
      <x:c r="E124" s="60"/>
      <x:c r="F124" s="60"/>
      <x:c r="G124" s="60"/>
      <x:c r="H124" s="60"/>
      <x:c r="I124" s="60"/>
      <x:c r="J124" s="60"/>
      <x:c r="K124" s="60"/>
      <x:c r="L124" s="60"/>
      <x:c r="M124" s="60"/>
      <x:c r="N124" s="60"/>
      <x:c r="O124" s="60"/>
      <x:c r="P124" s="60"/>
      <x:c r="Q124" s="60"/>
      <x:c r="R124" s="60"/>
      <x:c r="S124" s="60"/>
      <x:c r="T124" s="60"/>
      <x:c r="U124" s="60"/>
      <x:c r="V124" s="60"/>
      <x:c r="W124" s="60"/>
      <x:c r="X124" s="60"/>
      <x:c r="Y124" s="60"/>
      <x:c r="Z124" s="60"/>
    </x:row>
    <x:row r="125">
      <x:c r="A125" s="60"/>
      <x:c r="B125" s="60"/>
      <x:c r="C125" s="60"/>
      <x:c r="D125" s="60"/>
      <x:c r="E125" s="60"/>
      <x:c r="F125" s="60"/>
      <x:c r="G125" s="60"/>
      <x:c r="H125" s="60"/>
      <x:c r="I125" s="60"/>
      <x:c r="J125" s="60"/>
      <x:c r="K125" s="60"/>
      <x:c r="L125" s="60"/>
      <x:c r="M125" s="60"/>
      <x:c r="N125" s="60"/>
      <x:c r="O125" s="60"/>
      <x:c r="P125" s="60"/>
      <x:c r="Q125" s="60"/>
      <x:c r="R125" s="60"/>
      <x:c r="S125" s="60"/>
      <x:c r="T125" s="60"/>
      <x:c r="U125" s="60"/>
      <x:c r="V125" s="60"/>
      <x:c r="W125" s="60"/>
      <x:c r="X125" s="60"/>
      <x:c r="Y125" s="60"/>
      <x:c r="Z125" s="60"/>
    </x:row>
    <x:row r="126">
      <x:c r="A126" s="60"/>
      <x:c r="B126" s="60"/>
      <x:c r="C126" s="60"/>
      <x:c r="D126" s="60"/>
      <x:c r="E126" s="60"/>
      <x:c r="F126" s="60"/>
      <x:c r="G126" s="60"/>
      <x:c r="H126" s="60"/>
      <x:c r="I126" s="60"/>
      <x:c r="J126" s="60"/>
      <x:c r="K126" s="60"/>
      <x:c r="L126" s="60"/>
      <x:c r="M126" s="60"/>
      <x:c r="N126" s="60"/>
      <x:c r="O126" s="60"/>
      <x:c r="P126" s="60"/>
      <x:c r="Q126" s="60"/>
      <x:c r="R126" s="60"/>
      <x:c r="S126" s="60"/>
      <x:c r="T126" s="60"/>
      <x:c r="U126" s="60"/>
      <x:c r="V126" s="60"/>
      <x:c r="W126" s="60"/>
      <x:c r="X126" s="60"/>
      <x:c r="Y126" s="60"/>
      <x:c r="Z126" s="60"/>
    </x:row>
    <x:row r="127">
      <x:c r="A127" s="60"/>
      <x:c r="B127" s="60"/>
      <x:c r="C127" s="60"/>
      <x:c r="D127" s="60"/>
      <x:c r="E127" s="60"/>
      <x:c r="F127" s="60"/>
      <x:c r="G127" s="60"/>
      <x:c r="H127" s="60"/>
      <x:c r="I127" s="60"/>
      <x:c r="J127" s="60"/>
      <x:c r="K127" s="60"/>
      <x:c r="L127" s="60"/>
      <x:c r="M127" s="60"/>
      <x:c r="N127" s="60"/>
      <x:c r="O127" s="60"/>
      <x:c r="P127" s="60"/>
      <x:c r="Q127" s="60"/>
      <x:c r="R127" s="60"/>
      <x:c r="S127" s="60"/>
      <x:c r="T127" s="60"/>
      <x:c r="U127" s="60"/>
      <x:c r="V127" s="60"/>
      <x:c r="W127" s="60"/>
      <x:c r="X127" s="60"/>
      <x:c r="Y127" s="60"/>
      <x:c r="Z127" s="60"/>
    </x:row>
    <x:row r="128">
      <x:c r="A128" s="60"/>
      <x:c r="B128" s="60"/>
      <x:c r="C128" s="60"/>
      <x:c r="D128" s="60"/>
      <x:c r="E128" s="60"/>
      <x:c r="F128" s="60"/>
      <x:c r="G128" s="60"/>
      <x:c r="H128" s="60"/>
      <x:c r="I128" s="60"/>
      <x:c r="J128" s="60"/>
      <x:c r="K128" s="60"/>
      <x:c r="L128" s="60"/>
      <x:c r="M128" s="60"/>
      <x:c r="N128" s="60"/>
      <x:c r="O128" s="60"/>
      <x:c r="P128" s="60"/>
      <x:c r="Q128" s="60"/>
      <x:c r="R128" s="60"/>
      <x:c r="S128" s="60"/>
      <x:c r="T128" s="60"/>
      <x:c r="U128" s="60"/>
      <x:c r="V128" s="60"/>
      <x:c r="W128" s="60"/>
      <x:c r="X128" s="60"/>
      <x:c r="Y128" s="60"/>
      <x:c r="Z128" s="60"/>
    </x:row>
    <x:row r="129">
      <x:c r="A129" s="60"/>
      <x:c r="B129" s="60"/>
      <x:c r="C129" s="60"/>
      <x:c r="D129" s="60"/>
      <x:c r="E129" s="60"/>
      <x:c r="F129" s="60"/>
      <x:c r="G129" s="60"/>
      <x:c r="H129" s="60"/>
      <x:c r="I129" s="60"/>
      <x:c r="J129" s="60"/>
      <x:c r="K129" s="60"/>
      <x:c r="L129" s="60"/>
      <x:c r="M129" s="60"/>
      <x:c r="N129" s="60"/>
      <x:c r="O129" s="60"/>
      <x:c r="P129" s="60"/>
      <x:c r="Q129" s="60"/>
      <x:c r="R129" s="60"/>
      <x:c r="S129" s="60"/>
      <x:c r="T129" s="60"/>
      <x:c r="U129" s="60"/>
      <x:c r="V129" s="60"/>
      <x:c r="W129" s="60"/>
      <x:c r="X129" s="60"/>
      <x:c r="Y129" s="60"/>
      <x:c r="Z129" s="60"/>
    </x:row>
    <x:row r="130">
      <x:c r="A130" s="60"/>
      <x:c r="B130" s="60"/>
      <x:c r="C130" s="60"/>
      <x:c r="D130" s="60"/>
      <x:c r="E130" s="60"/>
      <x:c r="F130" s="60"/>
      <x:c r="G130" s="60"/>
      <x:c r="H130" s="60"/>
      <x:c r="I130" s="60"/>
      <x:c r="J130" s="60"/>
      <x:c r="K130" s="60"/>
      <x:c r="L130" s="60"/>
      <x:c r="M130" s="60"/>
      <x:c r="N130" s="60"/>
      <x:c r="O130" s="60"/>
      <x:c r="P130" s="60"/>
      <x:c r="Q130" s="60"/>
      <x:c r="R130" s="60"/>
      <x:c r="S130" s="60"/>
      <x:c r="T130" s="60"/>
      <x:c r="U130" s="60"/>
      <x:c r="V130" s="60"/>
      <x:c r="W130" s="60"/>
      <x:c r="X130" s="60"/>
      <x:c r="Y130" s="60"/>
      <x:c r="Z130" s="60"/>
    </x:row>
    <x:row r="131">
      <x:c r="A131" s="60"/>
      <x:c r="B131" s="60"/>
      <x:c r="C131" s="60"/>
      <x:c r="D131" s="60"/>
      <x:c r="E131" s="60"/>
      <x:c r="F131" s="60"/>
      <x:c r="G131" s="60"/>
      <x:c r="H131" s="60"/>
      <x:c r="I131" s="60"/>
      <x:c r="J131" s="60"/>
      <x:c r="K131" s="60"/>
      <x:c r="L131" s="60"/>
      <x:c r="M131" s="60"/>
      <x:c r="N131" s="60"/>
      <x:c r="O131" s="60"/>
      <x:c r="P131" s="60"/>
      <x:c r="Q131" s="60"/>
      <x:c r="R131" s="60"/>
      <x:c r="S131" s="60"/>
      <x:c r="T131" s="60"/>
      <x:c r="U131" s="60"/>
      <x:c r="V131" s="60"/>
      <x:c r="W131" s="60"/>
      <x:c r="X131" s="60"/>
      <x:c r="Y131" s="60"/>
      <x:c r="Z131" s="60"/>
    </x:row>
    <x:row r="132">
      <x:c r="A132" s="60"/>
      <x:c r="B132" s="60"/>
      <x:c r="C132" s="60"/>
      <x:c r="D132" s="60"/>
      <x:c r="E132" s="60"/>
      <x:c r="F132" s="60"/>
      <x:c r="G132" s="60"/>
      <x:c r="H132" s="60"/>
      <x:c r="I132" s="60"/>
      <x:c r="J132" s="60"/>
      <x:c r="K132" s="60"/>
      <x:c r="L132" s="60"/>
      <x:c r="M132" s="60"/>
      <x:c r="N132" s="60"/>
      <x:c r="O132" s="60"/>
      <x:c r="P132" s="60"/>
      <x:c r="Q132" s="60"/>
      <x:c r="R132" s="60"/>
      <x:c r="S132" s="60"/>
      <x:c r="T132" s="60"/>
      <x:c r="U132" s="60"/>
      <x:c r="V132" s="60"/>
      <x:c r="W132" s="60"/>
      <x:c r="X132" s="60"/>
      <x:c r="Y132" s="60"/>
      <x:c r="Z132" s="60"/>
    </x:row>
    <x:row r="133">
      <x:c r="A133" s="60"/>
      <x:c r="B133" s="60"/>
      <x:c r="C133" s="60"/>
      <x:c r="D133" s="60"/>
      <x:c r="E133" s="60"/>
      <x:c r="F133" s="60"/>
      <x:c r="G133" s="60"/>
      <x:c r="H133" s="60"/>
      <x:c r="I133" s="60"/>
      <x:c r="J133" s="60"/>
      <x:c r="K133" s="60"/>
      <x:c r="L133" s="60"/>
      <x:c r="M133" s="60"/>
      <x:c r="N133" s="60"/>
      <x:c r="O133" s="60"/>
      <x:c r="P133" s="60"/>
      <x:c r="Q133" s="60"/>
      <x:c r="R133" s="60"/>
      <x:c r="S133" s="60"/>
      <x:c r="T133" s="60"/>
      <x:c r="U133" s="60"/>
      <x:c r="V133" s="60"/>
      <x:c r="W133" s="60"/>
      <x:c r="X133" s="60"/>
      <x:c r="Y133" s="60"/>
      <x:c r="Z133" s="60"/>
    </x:row>
    <x:row r="134">
      <x:c r="A134" s="60"/>
      <x:c r="B134" s="60"/>
      <x:c r="C134" s="60"/>
      <x:c r="D134" s="60"/>
      <x:c r="E134" s="60"/>
      <x:c r="F134" s="60"/>
      <x:c r="G134" s="60"/>
      <x:c r="H134" s="60"/>
      <x:c r="I134" s="60"/>
      <x:c r="J134" s="60"/>
      <x:c r="K134" s="60"/>
      <x:c r="L134" s="60"/>
      <x:c r="M134" s="60"/>
      <x:c r="N134" s="60"/>
      <x:c r="O134" s="60"/>
      <x:c r="P134" s="60"/>
      <x:c r="Q134" s="60"/>
      <x:c r="R134" s="60"/>
      <x:c r="S134" s="60"/>
      <x:c r="T134" s="60"/>
      <x:c r="U134" s="60"/>
      <x:c r="V134" s="60"/>
      <x:c r="W134" s="60"/>
      <x:c r="X134" s="60"/>
      <x:c r="Y134" s="60"/>
      <x:c r="Z134" s="60"/>
    </x:row>
    <x:row r="135">
      <x:c r="A135" s="60"/>
      <x:c r="B135" s="60"/>
      <x:c r="C135" s="60"/>
      <x:c r="D135" s="60"/>
      <x:c r="E135" s="60"/>
      <x:c r="F135" s="60"/>
      <x:c r="G135" s="60"/>
      <x:c r="H135" s="60"/>
      <x:c r="I135" s="60"/>
      <x:c r="J135" s="60"/>
      <x:c r="K135" s="60"/>
      <x:c r="L135" s="60"/>
      <x:c r="M135" s="60"/>
      <x:c r="N135" s="60"/>
      <x:c r="O135" s="60"/>
      <x:c r="P135" s="60"/>
      <x:c r="Q135" s="60"/>
      <x:c r="R135" s="60"/>
      <x:c r="S135" s="60"/>
      <x:c r="T135" s="60"/>
      <x:c r="U135" s="60"/>
      <x:c r="V135" s="60"/>
      <x:c r="W135" s="60"/>
      <x:c r="X135" s="60"/>
      <x:c r="Y135" s="60"/>
      <x:c r="Z135" s="60"/>
    </x:row>
    <x:row r="136">
      <x:c r="A136" s="60"/>
      <x:c r="B136" s="60"/>
      <x:c r="C136" s="60"/>
      <x:c r="D136" s="60"/>
      <x:c r="E136" s="60"/>
      <x:c r="F136" s="60"/>
      <x:c r="G136" s="60"/>
      <x:c r="H136" s="60"/>
      <x:c r="I136" s="60"/>
      <x:c r="J136" s="60"/>
      <x:c r="K136" s="60"/>
      <x:c r="L136" s="60"/>
      <x:c r="M136" s="60"/>
      <x:c r="N136" s="60"/>
      <x:c r="O136" s="60"/>
      <x:c r="P136" s="60"/>
      <x:c r="Q136" s="60"/>
      <x:c r="R136" s="60"/>
      <x:c r="S136" s="60"/>
      <x:c r="T136" s="60"/>
      <x:c r="U136" s="60"/>
      <x:c r="V136" s="60"/>
      <x:c r="W136" s="60"/>
      <x:c r="X136" s="60"/>
      <x:c r="Y136" s="60"/>
      <x:c r="Z136" s="60"/>
    </x:row>
    <x:row r="137">
      <x:c r="A137" s="60"/>
      <x:c r="B137" s="60"/>
      <x:c r="C137" s="60"/>
      <x:c r="D137" s="60"/>
      <x:c r="E137" s="60"/>
      <x:c r="F137" s="60"/>
      <x:c r="G137" s="60"/>
      <x:c r="H137" s="60"/>
      <x:c r="I137" s="60"/>
      <x:c r="J137" s="60"/>
      <x:c r="K137" s="60"/>
      <x:c r="L137" s="60"/>
      <x:c r="M137" s="60"/>
      <x:c r="N137" s="60"/>
      <x:c r="O137" s="60"/>
      <x:c r="P137" s="60"/>
      <x:c r="Q137" s="60"/>
      <x:c r="R137" s="60"/>
      <x:c r="S137" s="60"/>
      <x:c r="T137" s="60"/>
      <x:c r="U137" s="60"/>
      <x:c r="V137" s="60"/>
      <x:c r="W137" s="60"/>
      <x:c r="X137" s="60"/>
      <x:c r="Y137" s="60"/>
      <x:c r="Z137" s="60"/>
    </x:row>
    <x:row r="138">
      <x:c r="A138" s="60"/>
      <x:c r="B138" s="60"/>
      <x:c r="C138" s="60"/>
      <x:c r="D138" s="60"/>
      <x:c r="E138" s="60"/>
      <x:c r="F138" s="60"/>
      <x:c r="G138" s="60"/>
      <x:c r="H138" s="60"/>
      <x:c r="I138" s="60"/>
      <x:c r="J138" s="60"/>
      <x:c r="K138" s="60"/>
      <x:c r="L138" s="60"/>
      <x:c r="M138" s="60"/>
      <x:c r="N138" s="60"/>
      <x:c r="O138" s="60"/>
      <x:c r="P138" s="60"/>
      <x:c r="Q138" s="60"/>
      <x:c r="R138" s="60"/>
      <x:c r="S138" s="60"/>
      <x:c r="T138" s="60"/>
      <x:c r="U138" s="60"/>
      <x:c r="V138" s="60"/>
      <x:c r="W138" s="60"/>
      <x:c r="X138" s="60"/>
      <x:c r="Y138" s="60"/>
      <x:c r="Z138" s="60"/>
    </x:row>
    <x:row r="139">
      <x:c r="A139" s="60"/>
      <x:c r="B139" s="60"/>
      <x:c r="C139" s="60"/>
      <x:c r="D139" s="60"/>
      <x:c r="E139" s="60"/>
      <x:c r="F139" s="60"/>
      <x:c r="G139" s="60"/>
      <x:c r="H139" s="60"/>
      <x:c r="I139" s="60"/>
      <x:c r="J139" s="60"/>
      <x:c r="K139" s="60"/>
      <x:c r="L139" s="60"/>
      <x:c r="M139" s="60"/>
      <x:c r="N139" s="60"/>
      <x:c r="O139" s="60"/>
      <x:c r="P139" s="60"/>
      <x:c r="Q139" s="60"/>
      <x:c r="R139" s="60"/>
      <x:c r="S139" s="60"/>
      <x:c r="T139" s="60"/>
      <x:c r="U139" s="60"/>
      <x:c r="V139" s="60"/>
      <x:c r="W139" s="60"/>
      <x:c r="X139" s="60"/>
      <x:c r="Y139" s="60"/>
      <x:c r="Z139" s="60"/>
    </x:row>
    <x:row r="140">
      <x:c r="A140" s="60"/>
      <x:c r="B140" s="60"/>
      <x:c r="C140" s="60"/>
      <x:c r="D140" s="60"/>
      <x:c r="E140" s="60"/>
      <x:c r="F140" s="60"/>
      <x:c r="G140" s="60"/>
      <x:c r="H140" s="60"/>
      <x:c r="I140" s="60"/>
      <x:c r="J140" s="60"/>
      <x:c r="K140" s="60"/>
      <x:c r="L140" s="60"/>
      <x:c r="M140" s="60"/>
      <x:c r="N140" s="60"/>
      <x:c r="O140" s="60"/>
      <x:c r="P140" s="60"/>
      <x:c r="Q140" s="60"/>
      <x:c r="R140" s="60"/>
      <x:c r="S140" s="60"/>
      <x:c r="T140" s="60"/>
      <x:c r="U140" s="60"/>
      <x:c r="V140" s="60"/>
      <x:c r="W140" s="60"/>
      <x:c r="X140" s="60"/>
      <x:c r="Y140" s="60"/>
      <x:c r="Z140" s="60"/>
    </x:row>
    <x:row r="141">
      <x:c r="A141" s="60"/>
      <x:c r="B141" s="60"/>
      <x:c r="C141" s="60"/>
      <x:c r="D141" s="60"/>
      <x:c r="E141" s="60"/>
      <x:c r="F141" s="60"/>
      <x:c r="G141" s="60"/>
      <x:c r="H141" s="60"/>
      <x:c r="I141" s="60"/>
      <x:c r="J141" s="60"/>
      <x:c r="K141" s="60"/>
      <x:c r="L141" s="60"/>
      <x:c r="M141" s="60"/>
      <x:c r="N141" s="60"/>
      <x:c r="O141" s="60"/>
      <x:c r="P141" s="60"/>
      <x:c r="Q141" s="60"/>
      <x:c r="R141" s="60"/>
      <x:c r="S141" s="60"/>
      <x:c r="T141" s="60"/>
      <x:c r="U141" s="60"/>
      <x:c r="V141" s="60"/>
      <x:c r="W141" s="60"/>
      <x:c r="X141" s="60"/>
      <x:c r="Y141" s="60"/>
      <x:c r="Z141" s="60"/>
    </x:row>
    <x:row r="142">
      <x:c r="A142" s="60"/>
      <x:c r="B142" s="60"/>
      <x:c r="C142" s="60"/>
      <x:c r="D142" s="60"/>
      <x:c r="E142" s="60"/>
      <x:c r="F142" s="60"/>
      <x:c r="G142" s="60"/>
      <x:c r="H142" s="60"/>
      <x:c r="I142" s="60"/>
      <x:c r="J142" s="60"/>
      <x:c r="K142" s="60"/>
      <x:c r="L142" s="60"/>
      <x:c r="M142" s="60"/>
      <x:c r="N142" s="60"/>
      <x:c r="O142" s="60"/>
      <x:c r="P142" s="60"/>
      <x:c r="Q142" s="60"/>
      <x:c r="R142" s="60"/>
      <x:c r="S142" s="60"/>
      <x:c r="T142" s="60"/>
      <x:c r="U142" s="60"/>
      <x:c r="V142" s="60"/>
      <x:c r="W142" s="60"/>
      <x:c r="X142" s="60"/>
      <x:c r="Y142" s="60"/>
      <x:c r="Z142" s="60"/>
    </x:row>
    <x:row r="143">
      <x:c r="A143" s="60"/>
      <x:c r="B143" s="60"/>
      <x:c r="C143" s="60"/>
      <x:c r="D143" s="60"/>
      <x:c r="E143" s="60"/>
      <x:c r="F143" s="60"/>
      <x:c r="G143" s="60"/>
      <x:c r="H143" s="60"/>
      <x:c r="I143" s="60"/>
      <x:c r="J143" s="60"/>
      <x:c r="K143" s="60"/>
      <x:c r="L143" s="60"/>
      <x:c r="M143" s="60"/>
      <x:c r="N143" s="60"/>
      <x:c r="O143" s="60"/>
      <x:c r="P143" s="60"/>
      <x:c r="Q143" s="60"/>
      <x:c r="R143" s="60"/>
      <x:c r="S143" s="60"/>
      <x:c r="T143" s="60"/>
      <x:c r="U143" s="60"/>
      <x:c r="V143" s="60"/>
      <x:c r="W143" s="60"/>
      <x:c r="X143" s="60"/>
      <x:c r="Y143" s="60"/>
      <x:c r="Z143" s="60"/>
    </x:row>
    <x:row r="144">
      <x:c r="A144" s="60"/>
      <x:c r="B144" s="60"/>
      <x:c r="C144" s="60"/>
      <x:c r="D144" s="60"/>
      <x:c r="E144" s="60"/>
      <x:c r="F144" s="60"/>
      <x:c r="G144" s="60"/>
      <x:c r="H144" s="60"/>
      <x:c r="I144" s="60"/>
      <x:c r="J144" s="60"/>
      <x:c r="K144" s="60"/>
      <x:c r="L144" s="60"/>
      <x:c r="M144" s="60"/>
      <x:c r="N144" s="60"/>
      <x:c r="O144" s="60"/>
      <x:c r="P144" s="60"/>
      <x:c r="Q144" s="60"/>
      <x:c r="R144" s="60"/>
      <x:c r="S144" s="60"/>
      <x:c r="T144" s="60"/>
      <x:c r="U144" s="60"/>
      <x:c r="V144" s="60"/>
      <x:c r="W144" s="60"/>
      <x:c r="X144" s="60"/>
      <x:c r="Y144" s="60"/>
      <x:c r="Z144" s="60"/>
    </x:row>
    <x:row r="145">
      <x:c r="A145" s="60"/>
      <x:c r="B145" s="60"/>
      <x:c r="C145" s="60"/>
      <x:c r="D145" s="60"/>
      <x:c r="E145" s="60"/>
      <x:c r="F145" s="60"/>
      <x:c r="G145" s="60"/>
      <x:c r="H145" s="60"/>
      <x:c r="I145" s="60"/>
      <x:c r="J145" s="60"/>
      <x:c r="K145" s="60"/>
      <x:c r="L145" s="60"/>
      <x:c r="M145" s="60"/>
      <x:c r="N145" s="60"/>
      <x:c r="O145" s="60"/>
      <x:c r="P145" s="60"/>
      <x:c r="Q145" s="60"/>
      <x:c r="R145" s="60"/>
      <x:c r="S145" s="60"/>
      <x:c r="T145" s="60"/>
      <x:c r="U145" s="60"/>
      <x:c r="V145" s="60"/>
      <x:c r="W145" s="60"/>
      <x:c r="X145" s="60"/>
      <x:c r="Y145" s="60"/>
      <x:c r="Z145" s="60"/>
    </x:row>
    <x:row r="146">
      <x:c r="A146" s="60"/>
      <x:c r="B146" s="60"/>
      <x:c r="C146" s="60"/>
      <x:c r="D146" s="60"/>
      <x:c r="E146" s="60"/>
      <x:c r="F146" s="60"/>
      <x:c r="G146" s="60"/>
      <x:c r="H146" s="60"/>
      <x:c r="I146" s="60"/>
      <x:c r="J146" s="60"/>
      <x:c r="K146" s="60"/>
      <x:c r="L146" s="60"/>
      <x:c r="M146" s="60"/>
      <x:c r="N146" s="60"/>
      <x:c r="O146" s="60"/>
      <x:c r="P146" s="60"/>
      <x:c r="Q146" s="60"/>
      <x:c r="R146" s="60"/>
      <x:c r="S146" s="60"/>
      <x:c r="T146" s="60"/>
      <x:c r="U146" s="60"/>
      <x:c r="V146" s="60"/>
      <x:c r="W146" s="60"/>
      <x:c r="X146" s="60"/>
      <x:c r="Y146" s="60"/>
      <x:c r="Z146" s="60"/>
    </x:row>
    <x:row r="147">
      <x:c r="A147" s="60"/>
      <x:c r="B147" s="60"/>
      <x:c r="C147" s="60"/>
      <x:c r="D147" s="60"/>
      <x:c r="E147" s="60"/>
      <x:c r="F147" s="60"/>
      <x:c r="G147" s="60"/>
      <x:c r="H147" s="60"/>
      <x:c r="I147" s="60"/>
      <x:c r="J147" s="60"/>
      <x:c r="K147" s="60"/>
      <x:c r="L147" s="60"/>
      <x:c r="M147" s="60"/>
      <x:c r="N147" s="60"/>
      <x:c r="O147" s="60"/>
      <x:c r="P147" s="60"/>
      <x:c r="Q147" s="60"/>
      <x:c r="R147" s="60"/>
      <x:c r="S147" s="60"/>
      <x:c r="T147" s="60"/>
      <x:c r="U147" s="60"/>
      <x:c r="V147" s="60"/>
      <x:c r="W147" s="60"/>
      <x:c r="X147" s="60"/>
      <x:c r="Y147" s="60"/>
      <x:c r="Z147" s="60"/>
    </x:row>
    <x:row r="148">
      <x:c r="A148" s="60"/>
      <x:c r="B148" s="60"/>
      <x:c r="C148" s="60"/>
      <x:c r="D148" s="60"/>
      <x:c r="E148" s="60"/>
      <x:c r="F148" s="60"/>
      <x:c r="G148" s="60"/>
      <x:c r="H148" s="60"/>
      <x:c r="I148" s="60"/>
      <x:c r="J148" s="60"/>
      <x:c r="K148" s="60"/>
      <x:c r="L148" s="60"/>
      <x:c r="M148" s="60"/>
      <x:c r="N148" s="60"/>
      <x:c r="O148" s="60"/>
      <x:c r="P148" s="60"/>
      <x:c r="Q148" s="60"/>
      <x:c r="R148" s="60"/>
      <x:c r="S148" s="60"/>
      <x:c r="T148" s="60"/>
      <x:c r="U148" s="60"/>
      <x:c r="V148" s="60"/>
      <x:c r="W148" s="60"/>
      <x:c r="X148" s="60"/>
      <x:c r="Y148" s="60"/>
      <x:c r="Z148" s="60"/>
    </x:row>
    <x:row r="149">
      <x:c r="A149" s="60"/>
      <x:c r="B149" s="60"/>
      <x:c r="C149" s="60"/>
      <x:c r="D149" s="60"/>
      <x:c r="E149" s="60"/>
      <x:c r="F149" s="60"/>
      <x:c r="G149" s="60"/>
      <x:c r="H149" s="60"/>
      <x:c r="I149" s="60"/>
      <x:c r="J149" s="60"/>
      <x:c r="K149" s="60"/>
      <x:c r="L149" s="60"/>
      <x:c r="M149" s="60"/>
      <x:c r="N149" s="60"/>
      <x:c r="O149" s="60"/>
      <x:c r="P149" s="60"/>
      <x:c r="Q149" s="60"/>
      <x:c r="R149" s="60"/>
      <x:c r="S149" s="60"/>
      <x:c r="T149" s="60"/>
      <x:c r="U149" s="60"/>
      <x:c r="V149" s="60"/>
      <x:c r="W149" s="60"/>
      <x:c r="X149" s="60"/>
      <x:c r="Y149" s="60"/>
      <x:c r="Z149" s="60"/>
    </x:row>
    <x:row r="150">
      <x:c r="A150" s="60"/>
      <x:c r="B150" s="60"/>
      <x:c r="C150" s="60"/>
      <x:c r="D150" s="60"/>
      <x:c r="E150" s="60"/>
      <x:c r="F150" s="60"/>
      <x:c r="G150" s="60"/>
      <x:c r="H150" s="60"/>
      <x:c r="I150" s="60"/>
      <x:c r="J150" s="60"/>
      <x:c r="K150" s="60"/>
      <x:c r="L150" s="60"/>
      <x:c r="M150" s="60"/>
      <x:c r="N150" s="60"/>
      <x:c r="O150" s="60"/>
      <x:c r="P150" s="60"/>
      <x:c r="Q150" s="60"/>
      <x:c r="R150" s="60"/>
      <x:c r="S150" s="60"/>
      <x:c r="T150" s="60"/>
      <x:c r="U150" s="60"/>
      <x:c r="V150" s="60"/>
      <x:c r="W150" s="60"/>
      <x:c r="X150" s="60"/>
      <x:c r="Y150" s="60"/>
      <x:c r="Z150" s="60"/>
    </x:row>
    <x:row r="151">
      <x:c r="A151" s="60"/>
      <x:c r="B151" s="60"/>
      <x:c r="C151" s="60"/>
      <x:c r="D151" s="60"/>
      <x:c r="E151" s="60"/>
      <x:c r="F151" s="60"/>
      <x:c r="G151" s="60"/>
      <x:c r="H151" s="60"/>
      <x:c r="I151" s="60"/>
      <x:c r="J151" s="60"/>
      <x:c r="K151" s="60"/>
      <x:c r="L151" s="60"/>
      <x:c r="M151" s="60"/>
      <x:c r="N151" s="60"/>
      <x:c r="O151" s="60"/>
      <x:c r="P151" s="60"/>
      <x:c r="Q151" s="60"/>
      <x:c r="R151" s="60"/>
      <x:c r="S151" s="60"/>
      <x:c r="T151" s="60"/>
      <x:c r="U151" s="60"/>
      <x:c r="V151" s="60"/>
      <x:c r="W151" s="60"/>
      <x:c r="X151" s="60"/>
      <x:c r="Y151" s="60"/>
      <x:c r="Z151" s="60"/>
    </x:row>
    <x:row r="152">
      <x:c r="A152" s="60"/>
      <x:c r="B152" s="60"/>
      <x:c r="C152" s="60"/>
      <x:c r="D152" s="60"/>
      <x:c r="E152" s="60"/>
      <x:c r="F152" s="60"/>
      <x:c r="G152" s="60"/>
      <x:c r="H152" s="60"/>
      <x:c r="I152" s="60"/>
      <x:c r="J152" s="60"/>
      <x:c r="K152" s="60"/>
      <x:c r="L152" s="60"/>
      <x:c r="M152" s="60"/>
      <x:c r="N152" s="60"/>
      <x:c r="O152" s="60"/>
      <x:c r="P152" s="60"/>
      <x:c r="Q152" s="60"/>
      <x:c r="R152" s="60"/>
      <x:c r="S152" s="60"/>
      <x:c r="T152" s="60"/>
      <x:c r="U152" s="60"/>
      <x:c r="V152" s="60"/>
      <x:c r="W152" s="60"/>
      <x:c r="X152" s="60"/>
      <x:c r="Y152" s="60"/>
      <x:c r="Z152" s="60"/>
    </x:row>
    <x:row r="153">
      <x:c r="A153" s="60"/>
      <x:c r="B153" s="60"/>
      <x:c r="C153" s="60"/>
      <x:c r="D153" s="60"/>
      <x:c r="E153" s="60"/>
      <x:c r="F153" s="60"/>
      <x:c r="G153" s="60"/>
      <x:c r="H153" s="60"/>
      <x:c r="I153" s="60"/>
      <x:c r="J153" s="60"/>
      <x:c r="K153" s="60"/>
      <x:c r="L153" s="60"/>
      <x:c r="M153" s="60"/>
      <x:c r="N153" s="60"/>
      <x:c r="O153" s="60"/>
      <x:c r="P153" s="60"/>
      <x:c r="Q153" s="60"/>
      <x:c r="R153" s="60"/>
      <x:c r="S153" s="60"/>
      <x:c r="T153" s="60"/>
      <x:c r="U153" s="60"/>
      <x:c r="V153" s="60"/>
      <x:c r="W153" s="60"/>
      <x:c r="X153" s="60"/>
      <x:c r="Y153" s="60"/>
      <x:c r="Z153" s="60"/>
    </x:row>
    <x:row r="154">
      <x:c r="A154" s="60"/>
      <x:c r="B154" s="60"/>
      <x:c r="C154" s="60"/>
      <x:c r="D154" s="60"/>
      <x:c r="E154" s="60"/>
      <x:c r="F154" s="60"/>
      <x:c r="G154" s="60"/>
      <x:c r="H154" s="60"/>
      <x:c r="I154" s="60"/>
      <x:c r="J154" s="60"/>
      <x:c r="K154" s="60"/>
      <x:c r="L154" s="60"/>
      <x:c r="M154" s="60"/>
      <x:c r="N154" s="60"/>
      <x:c r="O154" s="60"/>
      <x:c r="P154" s="60"/>
      <x:c r="Q154" s="60"/>
      <x:c r="R154" s="60"/>
      <x:c r="S154" s="60"/>
      <x:c r="T154" s="60"/>
      <x:c r="U154" s="60"/>
      <x:c r="V154" s="60"/>
      <x:c r="W154" s="60"/>
      <x:c r="X154" s="60"/>
      <x:c r="Y154" s="60"/>
      <x:c r="Z154" s="60"/>
    </x:row>
    <x:row r="155">
      <x:c r="A155" s="60"/>
      <x:c r="B155" s="60"/>
      <x:c r="C155" s="60"/>
      <x:c r="D155" s="60"/>
      <x:c r="E155" s="60"/>
      <x:c r="F155" s="60"/>
      <x:c r="G155" s="60"/>
      <x:c r="H155" s="60"/>
      <x:c r="I155" s="60"/>
      <x:c r="J155" s="60"/>
      <x:c r="K155" s="60"/>
      <x:c r="L155" s="60"/>
      <x:c r="M155" s="60"/>
      <x:c r="N155" s="60"/>
      <x:c r="O155" s="60"/>
      <x:c r="P155" s="60"/>
      <x:c r="Q155" s="60"/>
      <x:c r="R155" s="60"/>
      <x:c r="S155" s="60"/>
      <x:c r="T155" s="60"/>
      <x:c r="U155" s="60"/>
      <x:c r="V155" s="60"/>
      <x:c r="W155" s="60"/>
      <x:c r="X155" s="60"/>
      <x:c r="Y155" s="60"/>
      <x:c r="Z155" s="60"/>
    </x:row>
    <x:row r="156">
      <x:c r="A156" s="60"/>
      <x:c r="B156" s="60"/>
      <x:c r="C156" s="60"/>
      <x:c r="D156" s="60"/>
      <x:c r="E156" s="60"/>
      <x:c r="F156" s="60"/>
      <x:c r="G156" s="60"/>
      <x:c r="H156" s="60"/>
      <x:c r="I156" s="60"/>
      <x:c r="J156" s="60"/>
      <x:c r="K156" s="60"/>
      <x:c r="L156" s="60"/>
      <x:c r="M156" s="60"/>
      <x:c r="N156" s="60"/>
      <x:c r="O156" s="60"/>
      <x:c r="P156" s="60"/>
      <x:c r="Q156" s="60"/>
      <x:c r="R156" s="60"/>
      <x:c r="S156" s="60"/>
      <x:c r="T156" s="60"/>
      <x:c r="U156" s="60"/>
      <x:c r="V156" s="60"/>
      <x:c r="W156" s="60"/>
      <x:c r="X156" s="60"/>
      <x:c r="Y156" s="60"/>
      <x:c r="Z156" s="60"/>
    </x:row>
    <x:row r="157">
      <x:c r="A157" s="60"/>
      <x:c r="B157" s="60"/>
      <x:c r="C157" s="60"/>
      <x:c r="D157" s="60"/>
      <x:c r="E157" s="60"/>
      <x:c r="F157" s="60"/>
      <x:c r="G157" s="60"/>
      <x:c r="H157" s="60"/>
      <x:c r="I157" s="60"/>
      <x:c r="J157" s="60"/>
      <x:c r="K157" s="60"/>
      <x:c r="L157" s="60"/>
      <x:c r="M157" s="60"/>
      <x:c r="N157" s="60"/>
      <x:c r="O157" s="60"/>
      <x:c r="P157" s="60"/>
      <x:c r="Q157" s="60"/>
      <x:c r="R157" s="60"/>
      <x:c r="S157" s="60"/>
      <x:c r="T157" s="60"/>
      <x:c r="U157" s="60"/>
      <x:c r="V157" s="60"/>
      <x:c r="W157" s="60"/>
      <x:c r="X157" s="60"/>
      <x:c r="Y157" s="60"/>
      <x:c r="Z157" s="60"/>
    </x:row>
    <x:row r="158">
      <x:c r="A158" s="60"/>
      <x:c r="B158" s="60"/>
      <x:c r="C158" s="60"/>
      <x:c r="D158" s="60"/>
      <x:c r="E158" s="60"/>
      <x:c r="F158" s="60"/>
      <x:c r="G158" s="60"/>
      <x:c r="H158" s="60"/>
      <x:c r="I158" s="60"/>
      <x:c r="J158" s="60"/>
      <x:c r="K158" s="60"/>
      <x:c r="L158" s="60"/>
      <x:c r="M158" s="60"/>
      <x:c r="N158" s="60"/>
      <x:c r="O158" s="60"/>
      <x:c r="P158" s="60"/>
      <x:c r="Q158" s="60"/>
      <x:c r="R158" s="60"/>
      <x:c r="S158" s="60"/>
      <x:c r="T158" s="60"/>
      <x:c r="U158" s="60"/>
      <x:c r="V158" s="60"/>
      <x:c r="W158" s="60"/>
      <x:c r="X158" s="60"/>
      <x:c r="Y158" s="60"/>
      <x:c r="Z158" s="60"/>
    </x:row>
    <x:row r="159">
      <x:c r="A159" s="60"/>
      <x:c r="B159" s="60"/>
      <x:c r="C159" s="60"/>
      <x:c r="D159" s="60"/>
      <x:c r="E159" s="60"/>
      <x:c r="F159" s="60"/>
      <x:c r="G159" s="60"/>
      <x:c r="H159" s="60"/>
      <x:c r="I159" s="60"/>
      <x:c r="J159" s="60"/>
      <x:c r="K159" s="60"/>
      <x:c r="L159" s="60"/>
      <x:c r="M159" s="60"/>
      <x:c r="N159" s="60"/>
      <x:c r="O159" s="60"/>
      <x:c r="P159" s="60"/>
      <x:c r="Q159" s="60"/>
      <x:c r="R159" s="60"/>
      <x:c r="S159" s="60"/>
      <x:c r="T159" s="60"/>
      <x:c r="U159" s="60"/>
      <x:c r="V159" s="60"/>
      <x:c r="W159" s="60"/>
      <x:c r="X159" s="60"/>
      <x:c r="Y159" s="60"/>
      <x:c r="Z159" s="60"/>
    </x:row>
    <x:row r="160">
      <x:c r="A160" s="60"/>
      <x:c r="B160" s="60"/>
      <x:c r="C160" s="60"/>
      <x:c r="D160" s="60"/>
      <x:c r="E160" s="60"/>
      <x:c r="F160" s="60"/>
      <x:c r="G160" s="60"/>
      <x:c r="H160" s="60"/>
      <x:c r="I160" s="60"/>
      <x:c r="J160" s="60"/>
      <x:c r="K160" s="60"/>
      <x:c r="L160" s="60"/>
      <x:c r="M160" s="60"/>
      <x:c r="N160" s="60"/>
      <x:c r="O160" s="60"/>
      <x:c r="P160" s="60"/>
      <x:c r="Q160" s="60"/>
      <x:c r="R160" s="60"/>
      <x:c r="S160" s="60"/>
      <x:c r="T160" s="60"/>
      <x:c r="U160" s="60"/>
      <x:c r="V160" s="60"/>
      <x:c r="W160" s="60"/>
      <x:c r="X160" s="60"/>
      <x:c r="Y160" s="60"/>
      <x:c r="Z160" s="60"/>
    </x:row>
    <x:row r="161">
      <x:c r="A161" s="60"/>
      <x:c r="B161" s="60"/>
      <x:c r="C161" s="60"/>
      <x:c r="D161" s="60"/>
      <x:c r="E161" s="60"/>
      <x:c r="F161" s="60"/>
      <x:c r="G161" s="60"/>
      <x:c r="H161" s="60"/>
      <x:c r="I161" s="60"/>
      <x:c r="J161" s="60"/>
      <x:c r="K161" s="60"/>
      <x:c r="L161" s="60"/>
      <x:c r="M161" s="60"/>
      <x:c r="N161" s="60"/>
      <x:c r="O161" s="60"/>
      <x:c r="P161" s="60"/>
      <x:c r="Q161" s="60"/>
      <x:c r="R161" s="60"/>
      <x:c r="S161" s="60"/>
      <x:c r="T161" s="60"/>
      <x:c r="U161" s="60"/>
      <x:c r="V161" s="60"/>
      <x:c r="W161" s="60"/>
      <x:c r="X161" s="60"/>
      <x:c r="Y161" s="60"/>
      <x:c r="Z161" s="60"/>
    </x:row>
    <x:row r="162">
      <x:c r="A162" s="60"/>
      <x:c r="B162" s="60"/>
      <x:c r="C162" s="60"/>
      <x:c r="D162" s="60"/>
      <x:c r="E162" s="60"/>
      <x:c r="F162" s="60"/>
      <x:c r="G162" s="60"/>
      <x:c r="H162" s="60"/>
      <x:c r="I162" s="60"/>
      <x:c r="J162" s="60"/>
      <x:c r="K162" s="60"/>
      <x:c r="L162" s="60"/>
      <x:c r="M162" s="60"/>
      <x:c r="N162" s="60"/>
      <x:c r="O162" s="60"/>
      <x:c r="P162" s="60"/>
      <x:c r="Q162" s="60"/>
      <x:c r="R162" s="60"/>
      <x:c r="S162" s="60"/>
      <x:c r="T162" s="60"/>
      <x:c r="U162" s="60"/>
      <x:c r="V162" s="60"/>
      <x:c r="W162" s="60"/>
      <x:c r="X162" s="60"/>
      <x:c r="Y162" s="60"/>
      <x:c r="Z162" s="60"/>
    </x:row>
    <x:row r="163">
      <x:c r="A163" s="60"/>
      <x:c r="B163" s="60"/>
      <x:c r="C163" s="60"/>
      <x:c r="D163" s="60"/>
      <x:c r="E163" s="60"/>
      <x:c r="F163" s="60"/>
      <x:c r="G163" s="60"/>
      <x:c r="H163" s="60"/>
      <x:c r="I163" s="60"/>
      <x:c r="J163" s="60"/>
      <x:c r="K163" s="60"/>
      <x:c r="L163" s="60"/>
      <x:c r="M163" s="60"/>
      <x:c r="N163" s="60"/>
      <x:c r="O163" s="60"/>
      <x:c r="P163" s="60"/>
      <x:c r="Q163" s="60"/>
      <x:c r="R163" s="60"/>
      <x:c r="S163" s="60"/>
      <x:c r="T163" s="60"/>
      <x:c r="U163" s="60"/>
      <x:c r="V163" s="60"/>
      <x:c r="W163" s="60"/>
      <x:c r="X163" s="60"/>
      <x:c r="Y163" s="60"/>
      <x:c r="Z163" s="60"/>
    </x:row>
    <x:row r="164">
      <x:c r="A164" s="60"/>
      <x:c r="B164" s="60"/>
      <x:c r="C164" s="60"/>
      <x:c r="D164" s="60"/>
      <x:c r="E164" s="60"/>
      <x:c r="F164" s="60"/>
      <x:c r="G164" s="60"/>
      <x:c r="H164" s="60"/>
      <x:c r="I164" s="60"/>
      <x:c r="J164" s="60"/>
      <x:c r="K164" s="60"/>
      <x:c r="L164" s="60"/>
      <x:c r="M164" s="60"/>
      <x:c r="N164" s="60"/>
      <x:c r="O164" s="60"/>
      <x:c r="P164" s="60"/>
      <x:c r="Q164" s="60"/>
      <x:c r="R164" s="60"/>
      <x:c r="S164" s="60"/>
      <x:c r="T164" s="60"/>
      <x:c r="U164" s="60"/>
      <x:c r="V164" s="60"/>
      <x:c r="W164" s="60"/>
      <x:c r="X164" s="60"/>
      <x:c r="Y164" s="60"/>
      <x:c r="Z164" s="60"/>
    </x:row>
    <x:row r="165">
      <x:c r="A165" s="60"/>
      <x:c r="B165" s="60"/>
      <x:c r="C165" s="60"/>
      <x:c r="D165" s="60"/>
      <x:c r="E165" s="60"/>
      <x:c r="F165" s="60"/>
      <x:c r="G165" s="60"/>
      <x:c r="H165" s="60"/>
      <x:c r="I165" s="60"/>
      <x:c r="J165" s="60"/>
      <x:c r="K165" s="60"/>
      <x:c r="L165" s="60"/>
      <x:c r="M165" s="60"/>
      <x:c r="N165" s="60"/>
      <x:c r="O165" s="60"/>
      <x:c r="P165" s="60"/>
      <x:c r="Q165" s="60"/>
      <x:c r="R165" s="60"/>
      <x:c r="S165" s="60"/>
      <x:c r="T165" s="60"/>
      <x:c r="U165" s="60"/>
      <x:c r="V165" s="60"/>
      <x:c r="W165" s="60"/>
      <x:c r="X165" s="60"/>
      <x:c r="Y165" s="60"/>
      <x:c r="Z165" s="60"/>
    </x:row>
    <x:row r="166">
      <x:c r="A166" s="60"/>
      <x:c r="B166" s="60"/>
      <x:c r="C166" s="60"/>
      <x:c r="D166" s="60"/>
      <x:c r="E166" s="60"/>
      <x:c r="F166" s="60"/>
      <x:c r="G166" s="60"/>
      <x:c r="H166" s="60"/>
      <x:c r="I166" s="60"/>
      <x:c r="J166" s="60"/>
      <x:c r="K166" s="60"/>
      <x:c r="L166" s="60"/>
      <x:c r="M166" s="60"/>
      <x:c r="N166" s="60"/>
      <x:c r="O166" s="60"/>
      <x:c r="P166" s="60"/>
      <x:c r="Q166" s="60"/>
      <x:c r="R166" s="60"/>
      <x:c r="S166" s="60"/>
      <x:c r="T166" s="60"/>
      <x:c r="U166" s="60"/>
      <x:c r="V166" s="60"/>
      <x:c r="W166" s="60"/>
      <x:c r="X166" s="60"/>
      <x:c r="Y166" s="60"/>
      <x:c r="Z166" s="60"/>
    </x:row>
    <x:row r="167">
      <x:c r="A167" s="60"/>
      <x:c r="B167" s="60"/>
      <x:c r="C167" s="60"/>
      <x:c r="D167" s="60"/>
      <x:c r="E167" s="60"/>
      <x:c r="F167" s="60"/>
      <x:c r="G167" s="60"/>
      <x:c r="H167" s="60"/>
      <x:c r="I167" s="60"/>
      <x:c r="J167" s="60"/>
      <x:c r="K167" s="60"/>
      <x:c r="L167" s="60"/>
      <x:c r="M167" s="60"/>
      <x:c r="N167" s="60"/>
      <x:c r="O167" s="60"/>
      <x:c r="P167" s="60"/>
      <x:c r="Q167" s="60"/>
      <x:c r="R167" s="60"/>
      <x:c r="S167" s="60"/>
      <x:c r="T167" s="60"/>
      <x:c r="U167" s="60"/>
      <x:c r="V167" s="60"/>
      <x:c r="W167" s="60"/>
      <x:c r="X167" s="60"/>
      <x:c r="Y167" s="60"/>
      <x:c r="Z167" s="60"/>
    </x:row>
    <x:row r="168">
      <x:c r="A168" s="60"/>
      <x:c r="B168" s="60"/>
      <x:c r="C168" s="60"/>
      <x:c r="D168" s="60"/>
      <x:c r="E168" s="60"/>
      <x:c r="F168" s="60"/>
      <x:c r="G168" s="60"/>
      <x:c r="H168" s="60"/>
      <x:c r="I168" s="60"/>
      <x:c r="J168" s="60"/>
      <x:c r="K168" s="60"/>
      <x:c r="L168" s="60"/>
      <x:c r="M168" s="60"/>
      <x:c r="N168" s="60"/>
      <x:c r="O168" s="60"/>
      <x:c r="P168" s="60"/>
      <x:c r="Q168" s="60"/>
      <x:c r="R168" s="60"/>
      <x:c r="S168" s="60"/>
      <x:c r="T168" s="60"/>
      <x:c r="U168" s="60"/>
      <x:c r="V168" s="60"/>
      <x:c r="W168" s="60"/>
      <x:c r="X168" s="60"/>
      <x:c r="Y168" s="60"/>
      <x:c r="Z168" s="60"/>
    </x:row>
    <x:row r="169">
      <x:c r="A169" s="60"/>
      <x:c r="B169" s="60"/>
      <x:c r="C169" s="60"/>
      <x:c r="D169" s="60"/>
      <x:c r="E169" s="60"/>
      <x:c r="F169" s="60"/>
      <x:c r="G169" s="60"/>
      <x:c r="H169" s="60"/>
      <x:c r="I169" s="60"/>
      <x:c r="J169" s="60"/>
      <x:c r="K169" s="60"/>
      <x:c r="L169" s="60"/>
      <x:c r="M169" s="60"/>
      <x:c r="N169" s="60"/>
      <x:c r="O169" s="60"/>
      <x:c r="P169" s="60"/>
      <x:c r="Q169" s="60"/>
      <x:c r="R169" s="60"/>
      <x:c r="S169" s="60"/>
      <x:c r="T169" s="60"/>
      <x:c r="U169" s="60"/>
      <x:c r="V169" s="60"/>
      <x:c r="W169" s="60"/>
      <x:c r="X169" s="60"/>
      <x:c r="Y169" s="60"/>
      <x:c r="Z169" s="60"/>
    </x:row>
    <x:row r="170">
      <x:c r="A170" s="60"/>
      <x:c r="B170" s="60"/>
      <x:c r="C170" s="60"/>
      <x:c r="D170" s="60"/>
      <x:c r="E170" s="60"/>
      <x:c r="F170" s="60"/>
      <x:c r="G170" s="60"/>
      <x:c r="H170" s="60"/>
      <x:c r="I170" s="60"/>
      <x:c r="J170" s="60"/>
      <x:c r="K170" s="60"/>
      <x:c r="L170" s="60"/>
      <x:c r="M170" s="60"/>
      <x:c r="N170" s="60"/>
      <x:c r="O170" s="60"/>
      <x:c r="P170" s="60"/>
      <x:c r="Q170" s="60"/>
      <x:c r="R170" s="60"/>
      <x:c r="S170" s="60"/>
      <x:c r="T170" s="60"/>
      <x:c r="U170" s="60"/>
      <x:c r="V170" s="60"/>
      <x:c r="W170" s="60"/>
      <x:c r="X170" s="60"/>
      <x:c r="Y170" s="60"/>
      <x:c r="Z170" s="60"/>
    </x:row>
    <x:row r="171">
      <x:c r="A171" s="60"/>
      <x:c r="B171" s="60"/>
      <x:c r="C171" s="60"/>
      <x:c r="D171" s="60"/>
      <x:c r="E171" s="60"/>
      <x:c r="F171" s="60"/>
      <x:c r="G171" s="60"/>
      <x:c r="H171" s="60"/>
      <x:c r="I171" s="60"/>
      <x:c r="J171" s="60"/>
      <x:c r="K171" s="60"/>
      <x:c r="L171" s="60"/>
      <x:c r="M171" s="60"/>
      <x:c r="N171" s="60"/>
      <x:c r="O171" s="60"/>
      <x:c r="P171" s="60"/>
      <x:c r="Q171" s="60"/>
      <x:c r="R171" s="60"/>
      <x:c r="S171" s="60"/>
      <x:c r="T171" s="60"/>
      <x:c r="U171" s="60"/>
      <x:c r="V171" s="60"/>
      <x:c r="W171" s="60"/>
      <x:c r="X171" s="60"/>
      <x:c r="Y171" s="60"/>
      <x:c r="Z171" s="60"/>
    </x:row>
    <x:row r="172">
      <x:c r="A172" s="60"/>
      <x:c r="B172" s="60"/>
      <x:c r="C172" s="60"/>
      <x:c r="D172" s="60"/>
      <x:c r="E172" s="60"/>
      <x:c r="F172" s="60"/>
      <x:c r="G172" s="60"/>
      <x:c r="H172" s="60"/>
      <x:c r="I172" s="60"/>
      <x:c r="J172" s="60"/>
      <x:c r="K172" s="60"/>
      <x:c r="L172" s="60"/>
      <x:c r="M172" s="60"/>
      <x:c r="N172" s="60"/>
      <x:c r="O172" s="60"/>
      <x:c r="P172" s="60"/>
      <x:c r="Q172" s="60"/>
      <x:c r="R172" s="60"/>
      <x:c r="S172" s="60"/>
      <x:c r="T172" s="60"/>
      <x:c r="U172" s="60"/>
      <x:c r="V172" s="60"/>
      <x:c r="W172" s="60"/>
      <x:c r="X172" s="60"/>
      <x:c r="Y172" s="60"/>
      <x:c r="Z172" s="60"/>
    </x:row>
    <x:row r="173">
      <x:c r="A173" s="60"/>
      <x:c r="B173" s="60"/>
      <x:c r="C173" s="60"/>
      <x:c r="D173" s="60"/>
      <x:c r="E173" s="60"/>
      <x:c r="F173" s="60"/>
      <x:c r="G173" s="60"/>
      <x:c r="H173" s="60"/>
      <x:c r="I173" s="60"/>
      <x:c r="J173" s="60"/>
      <x:c r="K173" s="60"/>
      <x:c r="L173" s="60"/>
      <x:c r="M173" s="60"/>
      <x:c r="N173" s="60"/>
      <x:c r="O173" s="60"/>
      <x:c r="P173" s="60"/>
      <x:c r="Q173" s="60"/>
      <x:c r="R173" s="60"/>
      <x:c r="S173" s="60"/>
      <x:c r="T173" s="60"/>
      <x:c r="U173" s="60"/>
      <x:c r="V173" s="60"/>
      <x:c r="W173" s="60"/>
      <x:c r="X173" s="60"/>
      <x:c r="Y173" s="60"/>
      <x:c r="Z173" s="60"/>
    </x:row>
    <x:row r="174">
      <x:c r="A174" s="60"/>
      <x:c r="B174" s="60"/>
      <x:c r="C174" s="60"/>
      <x:c r="D174" s="60"/>
      <x:c r="E174" s="60"/>
      <x:c r="F174" s="60"/>
      <x:c r="G174" s="60"/>
      <x:c r="H174" s="60"/>
      <x:c r="I174" s="60"/>
      <x:c r="J174" s="60"/>
      <x:c r="K174" s="60"/>
      <x:c r="L174" s="60"/>
      <x:c r="M174" s="60"/>
      <x:c r="N174" s="60"/>
      <x:c r="O174" s="60"/>
      <x:c r="P174" s="60"/>
      <x:c r="Q174" s="60"/>
      <x:c r="R174" s="60"/>
      <x:c r="S174" s="60"/>
      <x:c r="T174" s="60"/>
      <x:c r="U174" s="60"/>
      <x:c r="V174" s="60"/>
      <x:c r="W174" s="60"/>
      <x:c r="X174" s="60"/>
      <x:c r="Y174" s="60"/>
      <x:c r="Z174" s="60"/>
    </x:row>
    <x:row r="175">
      <x:c r="A175" s="60"/>
      <x:c r="B175" s="60"/>
      <x:c r="C175" s="60"/>
      <x:c r="D175" s="60"/>
      <x:c r="E175" s="60"/>
      <x:c r="F175" s="60"/>
      <x:c r="G175" s="60"/>
      <x:c r="H175" s="60"/>
      <x:c r="I175" s="60"/>
      <x:c r="J175" s="60"/>
      <x:c r="K175" s="60"/>
      <x:c r="L175" s="60"/>
      <x:c r="M175" s="60"/>
      <x:c r="N175" s="60"/>
      <x:c r="O175" s="60"/>
      <x:c r="P175" s="60"/>
      <x:c r="Q175" s="60"/>
      <x:c r="R175" s="60"/>
      <x:c r="S175" s="60"/>
      <x:c r="T175" s="60"/>
      <x:c r="U175" s="60"/>
      <x:c r="V175" s="60"/>
      <x:c r="W175" s="60"/>
      <x:c r="X175" s="60"/>
      <x:c r="Y175" s="60"/>
      <x:c r="Z175" s="60"/>
    </x:row>
    <x:row r="176">
      <x:c r="A176" s="60"/>
      <x:c r="B176" s="60"/>
      <x:c r="C176" s="60"/>
      <x:c r="D176" s="60"/>
      <x:c r="E176" s="60"/>
      <x:c r="F176" s="60"/>
      <x:c r="G176" s="60"/>
      <x:c r="H176" s="60"/>
      <x:c r="I176" s="60"/>
      <x:c r="J176" s="60"/>
      <x:c r="K176" s="60"/>
      <x:c r="L176" s="60"/>
      <x:c r="M176" s="60"/>
      <x:c r="N176" s="60"/>
      <x:c r="O176" s="60"/>
      <x:c r="P176" s="60"/>
      <x:c r="Q176" s="60"/>
      <x:c r="R176" s="60"/>
      <x:c r="S176" s="60"/>
      <x:c r="T176" s="60"/>
      <x:c r="U176" s="60"/>
      <x:c r="V176" s="60"/>
      <x:c r="W176" s="60"/>
      <x:c r="X176" s="60"/>
      <x:c r="Y176" s="60"/>
      <x:c r="Z176" s="60"/>
    </x:row>
    <x:row r="177">
      <x:c r="A177" s="60"/>
      <x:c r="B177" s="60"/>
      <x:c r="C177" s="60"/>
      <x:c r="D177" s="60"/>
      <x:c r="E177" s="60"/>
      <x:c r="F177" s="60"/>
      <x:c r="G177" s="60"/>
      <x:c r="H177" s="60"/>
      <x:c r="I177" s="60"/>
      <x:c r="J177" s="60"/>
      <x:c r="K177" s="60"/>
      <x:c r="L177" s="60"/>
      <x:c r="M177" s="60"/>
      <x:c r="N177" s="60"/>
      <x:c r="O177" s="60"/>
      <x:c r="P177" s="60"/>
      <x:c r="Q177" s="60"/>
      <x:c r="R177" s="60"/>
      <x:c r="S177" s="60"/>
      <x:c r="T177" s="60"/>
      <x:c r="U177" s="60"/>
      <x:c r="V177" s="60"/>
      <x:c r="W177" s="60"/>
      <x:c r="X177" s="60"/>
      <x:c r="Y177" s="60"/>
      <x:c r="Z177" s="60"/>
    </x:row>
    <x:row r="178">
      <x:c r="A178" s="60"/>
      <x:c r="B178" s="60"/>
      <x:c r="C178" s="60"/>
      <x:c r="D178" s="60"/>
      <x:c r="E178" s="60"/>
      <x:c r="F178" s="60"/>
      <x:c r="G178" s="60"/>
      <x:c r="H178" s="60"/>
      <x:c r="I178" s="60"/>
      <x:c r="J178" s="60"/>
      <x:c r="K178" s="60"/>
      <x:c r="L178" s="60"/>
      <x:c r="M178" s="60"/>
      <x:c r="N178" s="60"/>
      <x:c r="O178" s="60"/>
      <x:c r="P178" s="60"/>
      <x:c r="Q178" s="60"/>
      <x:c r="R178" s="60"/>
      <x:c r="S178" s="60"/>
      <x:c r="T178" s="60"/>
      <x:c r="U178" s="60"/>
      <x:c r="V178" s="60"/>
      <x:c r="W178" s="60"/>
      <x:c r="X178" s="60"/>
      <x:c r="Y178" s="60"/>
      <x:c r="Z178" s="60"/>
    </x:row>
    <x:row r="179">
      <x:c r="A179" s="60"/>
      <x:c r="B179" s="60"/>
      <x:c r="C179" s="60"/>
      <x:c r="D179" s="60"/>
      <x:c r="E179" s="60"/>
      <x:c r="F179" s="60"/>
      <x:c r="G179" s="60"/>
      <x:c r="H179" s="60"/>
      <x:c r="I179" s="60"/>
      <x:c r="J179" s="60"/>
      <x:c r="K179" s="60"/>
      <x:c r="L179" s="60"/>
      <x:c r="M179" s="60"/>
      <x:c r="N179" s="60"/>
      <x:c r="O179" s="60"/>
      <x:c r="P179" s="60"/>
      <x:c r="Q179" s="60"/>
      <x:c r="R179" s="60"/>
      <x:c r="S179" s="60"/>
      <x:c r="T179" s="60"/>
      <x:c r="U179" s="60"/>
      <x:c r="V179" s="60"/>
      <x:c r="W179" s="60"/>
      <x:c r="X179" s="60"/>
      <x:c r="Y179" s="60"/>
      <x:c r="Z179" s="60"/>
    </x:row>
    <x:row r="180">
      <x:c r="A180" s="60"/>
      <x:c r="B180" s="60"/>
      <x:c r="C180" s="60"/>
      <x:c r="D180" s="60"/>
      <x:c r="E180" s="60"/>
      <x:c r="F180" s="60"/>
      <x:c r="G180" s="60"/>
      <x:c r="H180" s="60"/>
      <x:c r="I180" s="60"/>
      <x:c r="J180" s="60"/>
      <x:c r="K180" s="60"/>
      <x:c r="L180" s="60"/>
      <x:c r="M180" s="60"/>
      <x:c r="N180" s="60"/>
      <x:c r="O180" s="60"/>
      <x:c r="P180" s="60"/>
      <x:c r="Q180" s="60"/>
      <x:c r="R180" s="60"/>
      <x:c r="S180" s="60"/>
      <x:c r="T180" s="60"/>
      <x:c r="U180" s="60"/>
      <x:c r="V180" s="60"/>
      <x:c r="W180" s="60"/>
      <x:c r="X180" s="60"/>
      <x:c r="Y180" s="60"/>
      <x:c r="Z180" s="60"/>
    </x:row>
    <x:row r="181">
      <x:c r="A181" s="60"/>
      <x:c r="B181" s="60"/>
      <x:c r="C181" s="60"/>
      <x:c r="D181" s="60"/>
      <x:c r="E181" s="60"/>
      <x:c r="F181" s="60"/>
      <x:c r="G181" s="60"/>
      <x:c r="H181" s="60"/>
      <x:c r="I181" s="60"/>
      <x:c r="J181" s="60"/>
      <x:c r="K181" s="60"/>
      <x:c r="L181" s="60"/>
      <x:c r="M181" s="60"/>
      <x:c r="N181" s="60"/>
      <x:c r="O181" s="60"/>
      <x:c r="P181" s="60"/>
      <x:c r="Q181" s="60"/>
      <x:c r="R181" s="60"/>
      <x:c r="S181" s="60"/>
      <x:c r="T181" s="60"/>
      <x:c r="U181" s="60"/>
      <x:c r="V181" s="60"/>
      <x:c r="W181" s="60"/>
      <x:c r="X181" s="60"/>
      <x:c r="Y181" s="60"/>
      <x:c r="Z181" s="60"/>
    </x:row>
    <x:row r="182">
      <x:c r="A182" s="60"/>
      <x:c r="B182" s="60"/>
      <x:c r="C182" s="60"/>
      <x:c r="D182" s="60"/>
      <x:c r="E182" s="60"/>
      <x:c r="F182" s="60"/>
      <x:c r="G182" s="60"/>
      <x:c r="H182" s="60"/>
      <x:c r="I182" s="60"/>
      <x:c r="J182" s="60"/>
      <x:c r="K182" s="60"/>
      <x:c r="L182" s="60"/>
      <x:c r="M182" s="60"/>
      <x:c r="N182" s="60"/>
      <x:c r="O182" s="60"/>
      <x:c r="P182" s="60"/>
      <x:c r="Q182" s="60"/>
      <x:c r="R182" s="60"/>
      <x:c r="S182" s="60"/>
      <x:c r="T182" s="60"/>
      <x:c r="U182" s="60"/>
      <x:c r="V182" s="60"/>
      <x:c r="W182" s="60"/>
      <x:c r="X182" s="60"/>
      <x:c r="Y182" s="60"/>
      <x:c r="Z182" s="60"/>
    </x:row>
    <x:row r="183">
      <x:c r="A183" s="60"/>
      <x:c r="B183" s="60"/>
      <x:c r="C183" s="60"/>
      <x:c r="D183" s="60"/>
      <x:c r="E183" s="60"/>
      <x:c r="F183" s="60"/>
      <x:c r="G183" s="60"/>
      <x:c r="H183" s="60"/>
      <x:c r="I183" s="60"/>
      <x:c r="J183" s="60"/>
      <x:c r="K183" s="60"/>
      <x:c r="L183" s="60"/>
      <x:c r="M183" s="60"/>
      <x:c r="N183" s="60"/>
      <x:c r="O183" s="60"/>
      <x:c r="P183" s="60"/>
      <x:c r="Q183" s="60"/>
      <x:c r="R183" s="60"/>
      <x:c r="S183" s="60"/>
      <x:c r="T183" s="60"/>
      <x:c r="U183" s="60"/>
      <x:c r="V183" s="60"/>
      <x:c r="W183" s="60"/>
      <x:c r="X183" s="60"/>
      <x:c r="Y183" s="60"/>
      <x:c r="Z183" s="60"/>
    </x:row>
    <x:row r="184">
      <x:c r="A184" s="60"/>
      <x:c r="B184" s="60"/>
      <x:c r="C184" s="60"/>
      <x:c r="D184" s="60"/>
      <x:c r="E184" s="60"/>
      <x:c r="F184" s="60"/>
      <x:c r="G184" s="60"/>
      <x:c r="H184" s="60"/>
      <x:c r="I184" s="60"/>
      <x:c r="J184" s="60"/>
      <x:c r="K184" s="60"/>
      <x:c r="L184" s="60"/>
      <x:c r="M184" s="60"/>
      <x:c r="N184" s="60"/>
      <x:c r="O184" s="60"/>
      <x:c r="P184" s="60"/>
      <x:c r="Q184" s="60"/>
      <x:c r="R184" s="60"/>
      <x:c r="S184" s="60"/>
      <x:c r="T184" s="60"/>
      <x:c r="U184" s="60"/>
      <x:c r="V184" s="60"/>
      <x:c r="W184" s="60"/>
      <x:c r="X184" s="60"/>
      <x:c r="Y184" s="60"/>
      <x:c r="Z184" s="60"/>
    </x:row>
    <x:row r="185">
      <x:c r="A185" s="60"/>
      <x:c r="B185" s="60"/>
      <x:c r="C185" s="60"/>
      <x:c r="D185" s="60"/>
      <x:c r="E185" s="60"/>
      <x:c r="F185" s="60"/>
      <x:c r="G185" s="60"/>
      <x:c r="H185" s="60"/>
      <x:c r="I185" s="60"/>
      <x:c r="J185" s="60"/>
      <x:c r="K185" s="60"/>
      <x:c r="L185" s="60"/>
      <x:c r="M185" s="60"/>
      <x:c r="N185" s="60"/>
      <x:c r="O185" s="60"/>
      <x:c r="P185" s="60"/>
      <x:c r="Q185" s="60"/>
      <x:c r="R185" s="60"/>
      <x:c r="S185" s="60"/>
      <x:c r="T185" s="60"/>
      <x:c r="U185" s="60"/>
      <x:c r="V185" s="60"/>
      <x:c r="W185" s="60"/>
      <x:c r="X185" s="60"/>
      <x:c r="Y185" s="60"/>
      <x:c r="Z185" s="60"/>
    </x:row>
    <x:row r="186">
      <x:c r="A186" s="60"/>
      <x:c r="B186" s="60"/>
      <x:c r="C186" s="60"/>
      <x:c r="D186" s="60"/>
      <x:c r="E186" s="60"/>
      <x:c r="F186" s="60"/>
      <x:c r="G186" s="60"/>
      <x:c r="H186" s="60"/>
      <x:c r="I186" s="60"/>
      <x:c r="J186" s="60"/>
      <x:c r="K186" s="60"/>
      <x:c r="L186" s="60"/>
      <x:c r="M186" s="60"/>
      <x:c r="N186" s="60"/>
      <x:c r="O186" s="60"/>
      <x:c r="P186" s="60"/>
      <x:c r="Q186" s="60"/>
      <x:c r="R186" s="60"/>
      <x:c r="S186" s="60"/>
      <x:c r="T186" s="60"/>
      <x:c r="U186" s="60"/>
      <x:c r="V186" s="60"/>
      <x:c r="W186" s="60"/>
      <x:c r="X186" s="60"/>
      <x:c r="Y186" s="60"/>
      <x:c r="Z186" s="60"/>
    </x:row>
    <x:row r="187">
      <x:c r="A187" s="60"/>
      <x:c r="B187" s="60"/>
      <x:c r="C187" s="60"/>
      <x:c r="D187" s="60"/>
      <x:c r="E187" s="60"/>
      <x:c r="F187" s="60"/>
      <x:c r="G187" s="60"/>
      <x:c r="H187" s="60"/>
      <x:c r="I187" s="60"/>
      <x:c r="J187" s="60"/>
      <x:c r="K187" s="60"/>
      <x:c r="L187" s="60"/>
      <x:c r="M187" s="60"/>
      <x:c r="N187" s="60"/>
      <x:c r="O187" s="60"/>
      <x:c r="P187" s="60"/>
      <x:c r="Q187" s="60"/>
      <x:c r="R187" s="60"/>
      <x:c r="S187" s="60"/>
      <x:c r="T187" s="60"/>
      <x:c r="U187" s="60"/>
      <x:c r="V187" s="60"/>
      <x:c r="W187" s="60"/>
      <x:c r="X187" s="60"/>
      <x:c r="Y187" s="60"/>
      <x:c r="Z187" s="60"/>
    </x:row>
    <x:row r="188">
      <x:c r="A188" s="60"/>
      <x:c r="B188" s="60"/>
      <x:c r="C188" s="60"/>
      <x:c r="D188" s="60"/>
      <x:c r="E188" s="60"/>
      <x:c r="F188" s="60"/>
      <x:c r="G188" s="60"/>
      <x:c r="H188" s="60"/>
      <x:c r="I188" s="60"/>
      <x:c r="J188" s="60"/>
      <x:c r="K188" s="60"/>
      <x:c r="L188" s="60"/>
      <x:c r="M188" s="60"/>
      <x:c r="N188" s="60"/>
      <x:c r="O188" s="60"/>
      <x:c r="P188" s="60"/>
      <x:c r="Q188" s="60"/>
      <x:c r="R188" s="60"/>
      <x:c r="S188" s="60"/>
      <x:c r="T188" s="60"/>
      <x:c r="U188" s="60"/>
      <x:c r="V188" s="60"/>
      <x:c r="W188" s="60"/>
      <x:c r="X188" s="60"/>
      <x:c r="Y188" s="60"/>
      <x:c r="Z188" s="60"/>
    </x:row>
    <x:row r="189">
      <x:c r="A189" s="60"/>
      <x:c r="B189" s="60"/>
      <x:c r="C189" s="60"/>
      <x:c r="D189" s="60"/>
      <x:c r="E189" s="60"/>
      <x:c r="F189" s="60"/>
      <x:c r="G189" s="60"/>
      <x:c r="H189" s="60"/>
      <x:c r="I189" s="60"/>
      <x:c r="J189" s="60"/>
      <x:c r="K189" s="60"/>
      <x:c r="L189" s="60"/>
      <x:c r="M189" s="60"/>
      <x:c r="N189" s="60"/>
      <x:c r="O189" s="60"/>
      <x:c r="P189" s="60"/>
      <x:c r="Q189" s="60"/>
      <x:c r="R189" s="60"/>
      <x:c r="S189" s="60"/>
      <x:c r="T189" s="60"/>
      <x:c r="U189" s="60"/>
      <x:c r="V189" s="60"/>
      <x:c r="W189" s="60"/>
      <x:c r="X189" s="60"/>
      <x:c r="Y189" s="60"/>
      <x:c r="Z189" s="60"/>
    </x:row>
    <x:row r="190">
      <x:c r="A190" s="60"/>
      <x:c r="B190" s="60"/>
      <x:c r="C190" s="60"/>
      <x:c r="D190" s="60"/>
      <x:c r="E190" s="60"/>
      <x:c r="F190" s="60"/>
      <x:c r="G190" s="60"/>
      <x:c r="H190" s="60"/>
      <x:c r="I190" s="60"/>
      <x:c r="J190" s="60"/>
      <x:c r="K190" s="60"/>
      <x:c r="L190" s="60"/>
      <x:c r="M190" s="60"/>
      <x:c r="N190" s="60"/>
      <x:c r="O190" s="60"/>
      <x:c r="P190" s="60"/>
      <x:c r="Q190" s="60"/>
      <x:c r="R190" s="60"/>
      <x:c r="S190" s="60"/>
      <x:c r="T190" s="60"/>
      <x:c r="U190" s="60"/>
      <x:c r="V190" s="60"/>
      <x:c r="W190" s="60"/>
      <x:c r="X190" s="60"/>
      <x:c r="Y190" s="60"/>
      <x:c r="Z190" s="60"/>
    </x:row>
    <x:row r="191">
      <x:c r="A191" s="60"/>
      <x:c r="B191" s="60"/>
      <x:c r="C191" s="60"/>
      <x:c r="D191" s="60"/>
      <x:c r="E191" s="60"/>
      <x:c r="F191" s="60"/>
      <x:c r="G191" s="60"/>
      <x:c r="H191" s="60"/>
      <x:c r="I191" s="60"/>
      <x:c r="J191" s="60"/>
      <x:c r="K191" s="60"/>
      <x:c r="L191" s="60"/>
      <x:c r="M191" s="60"/>
      <x:c r="N191" s="60"/>
      <x:c r="O191" s="60"/>
      <x:c r="P191" s="60"/>
      <x:c r="Q191" s="60"/>
      <x:c r="R191" s="60"/>
      <x:c r="S191" s="60"/>
      <x:c r="T191" s="60"/>
      <x:c r="U191" s="60"/>
      <x:c r="V191" s="60"/>
      <x:c r="W191" s="60"/>
      <x:c r="X191" s="60"/>
      <x:c r="Y191" s="60"/>
      <x:c r="Z191" s="60"/>
    </x:row>
    <x:row r="192">
      <x:c r="A192" s="60"/>
      <x:c r="B192" s="60"/>
      <x:c r="C192" s="60"/>
      <x:c r="D192" s="60"/>
      <x:c r="E192" s="60"/>
      <x:c r="F192" s="60"/>
      <x:c r="G192" s="60"/>
      <x:c r="H192" s="60"/>
      <x:c r="I192" s="60"/>
      <x:c r="J192" s="60"/>
      <x:c r="K192" s="60"/>
      <x:c r="L192" s="60"/>
      <x:c r="M192" s="60"/>
      <x:c r="N192" s="60"/>
      <x:c r="O192" s="60"/>
      <x:c r="P192" s="60"/>
      <x:c r="Q192" s="60"/>
      <x:c r="R192" s="60"/>
      <x:c r="S192" s="60"/>
      <x:c r="T192" s="60"/>
      <x:c r="U192" s="60"/>
      <x:c r="V192" s="60"/>
      <x:c r="W192" s="60"/>
      <x:c r="X192" s="60"/>
      <x:c r="Y192" s="60"/>
      <x:c r="Z192" s="60"/>
    </x:row>
    <x:row r="193">
      <x:c r="A193" s="60"/>
      <x:c r="B193" s="60"/>
      <x:c r="C193" s="60"/>
      <x:c r="D193" s="60"/>
      <x:c r="E193" s="60"/>
      <x:c r="F193" s="60"/>
      <x:c r="G193" s="60"/>
      <x:c r="H193" s="60"/>
      <x:c r="I193" s="60"/>
      <x:c r="J193" s="60"/>
      <x:c r="K193" s="60"/>
      <x:c r="L193" s="60"/>
      <x:c r="M193" s="60"/>
      <x:c r="N193" s="60"/>
      <x:c r="O193" s="60"/>
      <x:c r="P193" s="60"/>
      <x:c r="Q193" s="60"/>
      <x:c r="R193" s="60"/>
      <x:c r="S193" s="60"/>
      <x:c r="T193" s="60"/>
      <x:c r="U193" s="60"/>
      <x:c r="V193" s="60"/>
      <x:c r="W193" s="60"/>
      <x:c r="X193" s="60"/>
      <x:c r="Y193" s="60"/>
      <x:c r="Z193" s="60"/>
    </x:row>
    <x:row r="194">
      <x:c r="A194" s="60"/>
      <x:c r="B194" s="60"/>
      <x:c r="C194" s="60"/>
      <x:c r="D194" s="60"/>
      <x:c r="E194" s="60"/>
      <x:c r="F194" s="60"/>
      <x:c r="G194" s="60"/>
      <x:c r="H194" s="60"/>
      <x:c r="I194" s="60"/>
      <x:c r="J194" s="60"/>
      <x:c r="K194" s="60"/>
      <x:c r="L194" s="60"/>
      <x:c r="M194" s="60"/>
      <x:c r="N194" s="60"/>
      <x:c r="O194" s="60"/>
      <x:c r="P194" s="60"/>
      <x:c r="Q194" s="60"/>
      <x:c r="R194" s="60"/>
      <x:c r="S194" s="60"/>
      <x:c r="T194" s="60"/>
      <x:c r="U194" s="60"/>
      <x:c r="V194" s="60"/>
      <x:c r="W194" s="60"/>
      <x:c r="X194" s="60"/>
      <x:c r="Y194" s="60"/>
      <x:c r="Z194" s="60"/>
    </x:row>
    <x:row r="195">
      <x:c r="A195" s="60"/>
      <x:c r="B195" s="60"/>
      <x:c r="C195" s="60"/>
      <x:c r="D195" s="60"/>
      <x:c r="E195" s="60"/>
      <x:c r="F195" s="60"/>
      <x:c r="G195" s="60"/>
      <x:c r="H195" s="60"/>
      <x:c r="I195" s="60"/>
      <x:c r="J195" s="60"/>
      <x:c r="K195" s="60"/>
      <x:c r="L195" s="60"/>
      <x:c r="M195" s="60"/>
      <x:c r="N195" s="60"/>
      <x:c r="O195" s="60"/>
      <x:c r="P195" s="60"/>
      <x:c r="Q195" s="60"/>
      <x:c r="R195" s="60"/>
      <x:c r="S195" s="60"/>
      <x:c r="T195" s="60"/>
      <x:c r="U195" s="60"/>
      <x:c r="V195" s="60"/>
      <x:c r="W195" s="60"/>
      <x:c r="X195" s="60"/>
      <x:c r="Y195" s="60"/>
      <x:c r="Z195" s="60"/>
    </x:row>
    <x:row r="196">
      <x:c r="A196" s="60"/>
      <x:c r="B196" s="60"/>
      <x:c r="C196" s="60"/>
      <x:c r="D196" s="60"/>
      <x:c r="E196" s="60"/>
      <x:c r="F196" s="60"/>
      <x:c r="G196" s="60"/>
      <x:c r="H196" s="60"/>
      <x:c r="I196" s="60"/>
      <x:c r="J196" s="60"/>
      <x:c r="K196" s="60"/>
      <x:c r="L196" s="60"/>
      <x:c r="M196" s="60"/>
      <x:c r="N196" s="60"/>
      <x:c r="O196" s="60"/>
      <x:c r="P196" s="60"/>
      <x:c r="Q196" s="60"/>
      <x:c r="R196" s="60"/>
      <x:c r="S196" s="60"/>
      <x:c r="T196" s="60"/>
      <x:c r="U196" s="60"/>
      <x:c r="V196" s="60"/>
      <x:c r="W196" s="60"/>
      <x:c r="X196" s="60"/>
      <x:c r="Y196" s="60"/>
      <x:c r="Z196" s="60"/>
    </x:row>
    <x:row r="197">
      <x:c r="A197" s="60"/>
      <x:c r="B197" s="60"/>
      <x:c r="C197" s="60"/>
      <x:c r="D197" s="60"/>
      <x:c r="E197" s="60"/>
      <x:c r="F197" s="60"/>
      <x:c r="G197" s="60"/>
      <x:c r="H197" s="60"/>
      <x:c r="I197" s="60"/>
      <x:c r="J197" s="60"/>
      <x:c r="K197" s="60"/>
      <x:c r="L197" s="60"/>
      <x:c r="M197" s="60"/>
      <x:c r="N197" s="60"/>
      <x:c r="O197" s="60"/>
      <x:c r="P197" s="60"/>
      <x:c r="Q197" s="60"/>
      <x:c r="R197" s="60"/>
      <x:c r="S197" s="60"/>
      <x:c r="T197" s="60"/>
      <x:c r="U197" s="60"/>
      <x:c r="V197" s="60"/>
      <x:c r="W197" s="60"/>
      <x:c r="X197" s="60"/>
      <x:c r="Y197" s="60"/>
      <x:c r="Z197" s="60"/>
    </x:row>
    <x:row r="198">
      <x:c r="A198" s="60"/>
      <x:c r="B198" s="60"/>
      <x:c r="C198" s="60"/>
      <x:c r="D198" s="60"/>
      <x:c r="E198" s="60"/>
      <x:c r="F198" s="60"/>
      <x:c r="G198" s="60"/>
      <x:c r="H198" s="60"/>
      <x:c r="I198" s="60"/>
      <x:c r="J198" s="60"/>
      <x:c r="K198" s="60"/>
      <x:c r="L198" s="60"/>
      <x:c r="M198" s="60"/>
      <x:c r="N198" s="60"/>
      <x:c r="O198" s="60"/>
      <x:c r="P198" s="60"/>
      <x:c r="Q198" s="60"/>
      <x:c r="R198" s="60"/>
      <x:c r="S198" s="60"/>
      <x:c r="T198" s="60"/>
      <x:c r="U198" s="60"/>
      <x:c r="V198" s="60"/>
      <x:c r="W198" s="60"/>
      <x:c r="X198" s="60"/>
      <x:c r="Y198" s="60"/>
      <x:c r="Z198" s="60"/>
    </x:row>
    <x:row r="199">
      <x:c r="A199" s="60"/>
      <x:c r="B199" s="60"/>
      <x:c r="C199" s="60"/>
      <x:c r="D199" s="60"/>
      <x:c r="E199" s="60"/>
      <x:c r="F199" s="60"/>
      <x:c r="G199" s="60"/>
      <x:c r="H199" s="60"/>
      <x:c r="I199" s="60"/>
      <x:c r="J199" s="60"/>
      <x:c r="K199" s="60"/>
      <x:c r="L199" s="60"/>
      <x:c r="M199" s="60"/>
      <x:c r="N199" s="60"/>
      <x:c r="O199" s="60"/>
      <x:c r="P199" s="60"/>
      <x:c r="Q199" s="60"/>
      <x:c r="R199" s="60"/>
      <x:c r="S199" s="60"/>
      <x:c r="T199" s="60"/>
      <x:c r="U199" s="60"/>
      <x:c r="V199" s="60"/>
      <x:c r="W199" s="60"/>
      <x:c r="X199" s="60"/>
      <x:c r="Y199" s="60"/>
      <x:c r="Z199" s="60"/>
    </x:row>
    <x:row r="200">
      <x:c r="A200" s="60"/>
      <x:c r="B200" s="60"/>
      <x:c r="C200" s="60"/>
      <x:c r="D200" s="60"/>
      <x:c r="E200" s="60"/>
      <x:c r="F200" s="60"/>
      <x:c r="G200" s="60"/>
      <x:c r="H200" s="60"/>
      <x:c r="I200" s="60"/>
      <x:c r="J200" s="60"/>
      <x:c r="K200" s="60"/>
      <x:c r="L200" s="60"/>
      <x:c r="M200" s="60"/>
      <x:c r="N200" s="60"/>
      <x:c r="O200" s="60"/>
      <x:c r="P200" s="60"/>
      <x:c r="Q200" s="60"/>
      <x:c r="R200" s="60"/>
      <x:c r="S200" s="60"/>
      <x:c r="T200" s="60"/>
      <x:c r="U200" s="60"/>
      <x:c r="V200" s="60"/>
      <x:c r="W200" s="60"/>
      <x:c r="X200" s="60"/>
      <x:c r="Y200" s="60"/>
      <x:c r="Z200" s="60"/>
    </x:row>
  </x:sheetData>
  <x:mergeCells>
    <x:mergeCell ref="A1:H1"/>
    <x:mergeCell ref="A47:H47"/>
  </x:mergeCells>
  <x:conditionalFormatting sqref="G4:G44">
    <x:cfRule type="expression" dxfId="9" priority="1">
      <x:formula>G4="決定済み"</x:formula>
    </x:cfRule>
    <x:cfRule type="expression" dxfId="10" priority="2">
      <x:formula>G4="検証中"</x:formula>
    </x:cfRule>
    <x:cfRule type="expression" dxfId="11" priority="3">
      <x:formula>G4="未決定"</x:formula>
    </x:cfRule>
  </x:conditionalFormatting>
  <x:dataValidations count="1">
    <x:dataValidation type="list" sqref="G4:G44">
      <x:formula1>"未決定,検証中,決定済み"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3671d35de9524a8b"/>
    <x:tablePart xmlns:r="http://schemas.openxmlformats.org/officeDocument/2006/relationships" r:id="R22f865d699a54eca"/>
  </x:tableParts>
</x:worksheet>
</file>